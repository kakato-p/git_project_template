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ata\tools\gitRepos\git_project_template\docs\"/>
    </mc:Choice>
  </mc:AlternateContent>
  <xr:revisionPtr revIDLastSave="0" documentId="13_ncr:1_{A14C3BA8-CE31-43C6-BE1B-557B478C01AA}" xr6:coauthVersionLast="47" xr6:coauthVersionMax="47" xr10:uidLastSave="{00000000-0000-0000-0000-000000000000}"/>
  <bookViews>
    <workbookView xWindow="21570" yWindow="3480" windowWidth="16590" windowHeight="24990" firstSheet="1" activeTab="1" xr2:uid="{A20A6023-1233-4DFA-891A-DF5C291CC7C8}"/>
  </bookViews>
  <sheets>
    <sheet name="git (2)" sheetId="9" state="hidden" r:id="rId1"/>
    <sheet name="git" sheetId="1" r:id="rId2"/>
    <sheet name=".svg" sheetId="8" r:id="rId3"/>
    <sheet name="cursor" sheetId="3" r:id="rId4"/>
    <sheet name="_githooks" sheetId="11" r:id="rId5"/>
    <sheet name="gitHub" sheetId="10" r:id="rId6"/>
    <sheet name="2026-02-15の手順" sheetId="7" r:id="rId7"/>
    <sheet name="git補足" sheetId="6" r:id="rId8"/>
    <sheet name="GPT" sheetId="4" r:id="rId9"/>
    <sheet name="server" sheetId="2"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7" i="1" l="1"/>
  <c r="C56" i="10"/>
  <c r="E59" i="1" l="1"/>
  <c r="D40" i="9"/>
</calcChain>
</file>

<file path=xl/sharedStrings.xml><?xml version="1.0" encoding="utf-8"?>
<sst xmlns="http://schemas.openxmlformats.org/spreadsheetml/2006/main" count="416" uniqueCount="338">
  <si>
    <r>
      <t>Git</t>
    </r>
    <r>
      <rPr>
        <b/>
        <u/>
        <sz val="14"/>
        <color rgb="FF365F91"/>
        <rFont val="ＭＳ ゴシック"/>
        <family val="3"/>
        <charset val="128"/>
      </rPr>
      <t>作業フロー（</t>
    </r>
    <r>
      <rPr>
        <b/>
        <u/>
        <sz val="14"/>
        <color rgb="FF365F91"/>
        <rFont val="Calibri"/>
        <family val="2"/>
      </rPr>
      <t>main</t>
    </r>
    <r>
      <rPr>
        <b/>
        <u/>
        <sz val="14"/>
        <color rgb="FF365F91"/>
        <rFont val="ＭＳ ゴシック"/>
        <family val="3"/>
        <charset val="128"/>
      </rPr>
      <t>直コミット運用）</t>
    </r>
  </si>
  <si>
    <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t>
    </r>
  </si>
  <si>
    <t>git branch</t>
  </si>
  <si>
    <r>
      <t>※</t>
    </r>
    <r>
      <rPr>
        <sz val="11"/>
        <color theme="1"/>
        <rFont val="Cambria"/>
        <family val="1"/>
      </rPr>
      <t xml:space="preserve"> * </t>
    </r>
    <r>
      <rPr>
        <sz val="11"/>
        <color theme="1"/>
        <rFont val="ＭＳ 明朝"/>
        <family val="1"/>
        <charset val="128"/>
      </rPr>
      <t>存在するブランチ一覧を確認</t>
    </r>
  </si>
  <si>
    <t>git status</t>
  </si>
  <si>
    <r>
      <t>※</t>
    </r>
    <r>
      <rPr>
        <sz val="11"/>
        <color theme="1"/>
        <rFont val="Cambria"/>
        <family val="1"/>
      </rPr>
      <t xml:space="preserve"> * main </t>
    </r>
    <r>
      <rPr>
        <sz val="11"/>
        <color theme="1"/>
        <rFont val="ＭＳ 明朝"/>
        <family val="1"/>
        <charset val="128"/>
      </rPr>
      <t>になっていることを確認</t>
    </r>
  </si>
  <si>
    <r>
      <t xml:space="preserve">2. </t>
    </r>
    <r>
      <rPr>
        <b/>
        <sz val="13"/>
        <color rgb="FF4F81BD"/>
        <rFont val="ＭＳ ゴシック"/>
        <family val="3"/>
        <charset val="128"/>
      </rPr>
      <t>作業前差分確認</t>
    </r>
  </si>
  <si>
    <t>git diff</t>
  </si>
  <si>
    <r>
      <t xml:space="preserve">※ </t>
    </r>
    <r>
      <rPr>
        <sz val="11"/>
        <color theme="1"/>
        <rFont val="ＭＳ 明朝"/>
        <family val="1"/>
        <charset val="128"/>
      </rPr>
      <t>差分が出る状態では作業開始しない</t>
    </r>
  </si>
  <si>
    <r>
      <t xml:space="preserve">3. </t>
    </r>
    <r>
      <rPr>
        <b/>
        <sz val="13"/>
        <color rgb="FF4F81BD"/>
        <rFont val="ＭＳ ゴシック"/>
        <family val="3"/>
        <charset val="128"/>
      </rPr>
      <t>変更・修正・テスト実行</t>
    </r>
  </si>
  <si>
    <r>
      <t xml:space="preserve">4. </t>
    </r>
    <r>
      <rPr>
        <b/>
        <sz val="13"/>
        <color rgb="FF4F81BD"/>
        <rFont val="ＭＳ ゴシック"/>
        <family val="3"/>
        <charset val="128"/>
      </rPr>
      <t>最終差分確認</t>
    </r>
  </si>
  <si>
    <r>
      <t xml:space="preserve">※ </t>
    </r>
    <r>
      <rPr>
        <sz val="11"/>
        <color theme="1"/>
        <rFont val="ＭＳ 明朝"/>
        <family val="1"/>
        <charset val="128"/>
      </rPr>
      <t>意図しない変更が含まれていないか確認</t>
    </r>
  </si>
  <si>
    <t>git diff --staged --name-status</t>
  </si>
  <si>
    <t>git diff --staged --stat</t>
  </si>
  <si>
    <r>
      <t>※</t>
    </r>
    <r>
      <rPr>
        <sz val="11"/>
        <color theme="1"/>
        <rFont val="Cambria"/>
        <family val="1"/>
      </rPr>
      <t xml:space="preserve"> </t>
    </r>
    <r>
      <rPr>
        <sz val="11"/>
        <color theme="1"/>
        <rFont val="ＭＳ 明朝"/>
        <family val="1"/>
        <charset val="128"/>
      </rPr>
      <t>想定外のファイル、削除（</t>
    </r>
    <r>
      <rPr>
        <sz val="11"/>
        <color theme="1"/>
        <rFont val="Cambria"/>
        <family val="1"/>
      </rPr>
      <t>D</t>
    </r>
    <r>
      <rPr>
        <sz val="11"/>
        <color theme="1"/>
        <rFont val="ＭＳ 明朝"/>
        <family val="1"/>
        <charset val="128"/>
      </rPr>
      <t>）、リネーム（</t>
    </r>
    <r>
      <rPr>
        <sz val="11"/>
        <color theme="1"/>
        <rFont val="Cambria"/>
        <family val="1"/>
      </rPr>
      <t>R</t>
    </r>
    <r>
      <rPr>
        <sz val="11"/>
        <color theme="1"/>
        <rFont val="ＭＳ 明朝"/>
        <family val="1"/>
        <charset val="128"/>
      </rPr>
      <t>）、大量変更が含まれていないか</t>
    </r>
  </si>
  <si>
    <r>
      <t xml:space="preserve">7. </t>
    </r>
    <r>
      <rPr>
        <b/>
        <sz val="13"/>
        <color rgb="FF4F81BD"/>
        <rFont val="ＭＳ ゴシック"/>
        <family val="3"/>
        <charset val="128"/>
      </rPr>
      <t>ステージ内容・差分確認（本体）</t>
    </r>
  </si>
  <si>
    <t>git diff --staged -U0</t>
  </si>
  <si>
    <r>
      <t>※</t>
    </r>
    <r>
      <rPr>
        <sz val="11"/>
        <color theme="1"/>
        <rFont val="Cambria"/>
        <family val="1"/>
      </rPr>
      <t xml:space="preserve"> </t>
    </r>
    <r>
      <rPr>
        <sz val="11"/>
        <color theme="1"/>
        <rFont val="ＭＳ 明朝"/>
        <family val="1"/>
        <charset val="128"/>
      </rPr>
      <t>変更行のみ高速確認</t>
    </r>
  </si>
  <si>
    <t>必要に応じて：</t>
  </si>
  <si>
    <t>git diff --staged -U3</t>
  </si>
  <si>
    <t>git diff --staged -- path/to/file.py</t>
  </si>
  <si>
    <t>git diff --staged -- '*.py'</t>
  </si>
  <si>
    <t>8. commit</t>
  </si>
  <si>
    <t>feat</t>
  </si>
  <si>
    <t>fix</t>
  </si>
  <si>
    <t>バグ修正</t>
  </si>
  <si>
    <t>refactor</t>
  </si>
  <si>
    <t>docs</t>
  </si>
  <si>
    <t>メモ</t>
  </si>
  <si>
    <t>test</t>
  </si>
  <si>
    <t>テスト追加・修正</t>
  </si>
  <si>
    <t>chore</t>
  </si>
  <si>
    <r>
      <t xml:space="preserve">9. </t>
    </r>
    <r>
      <rPr>
        <b/>
        <sz val="13"/>
        <color rgb="FF4F81BD"/>
        <rFont val="ＭＳ ゴシック"/>
        <family val="3"/>
        <charset val="128"/>
      </rPr>
      <t>後処理確認</t>
    </r>
  </si>
  <si>
    <t>git log -1 --oneline</t>
  </si>
  <si>
    <r>
      <t>10. push</t>
    </r>
    <r>
      <rPr>
        <b/>
        <sz val="13"/>
        <color rgb="FF4F81BD"/>
        <rFont val="ＭＳ ゴシック"/>
        <family val="3"/>
        <charset val="128"/>
      </rPr>
      <t>（必要なタイミングで）</t>
    </r>
  </si>
  <si>
    <t>git push</t>
  </si>
  <si>
    <r>
      <t>補足：</t>
    </r>
    <r>
      <rPr>
        <b/>
        <sz val="13"/>
        <color rgb="FF4F81BD"/>
        <rFont val="Calibri"/>
        <family val="2"/>
      </rPr>
      <t xml:space="preserve">1. </t>
    </r>
    <r>
      <rPr>
        <b/>
        <sz val="13"/>
        <color rgb="FF4F81BD"/>
        <rFont val="ＭＳ ゴシック"/>
        <family val="3"/>
        <charset val="128"/>
      </rPr>
      <t>作業開始（</t>
    </r>
    <r>
      <rPr>
        <b/>
        <sz val="13"/>
        <color rgb="FF4F81BD"/>
        <rFont val="Calibri"/>
        <family val="2"/>
      </rPr>
      <t>main</t>
    </r>
    <r>
      <rPr>
        <b/>
        <sz val="13"/>
        <color rgb="FF4F81BD"/>
        <rFont val="ＭＳ ゴシック"/>
        <family val="3"/>
        <charset val="128"/>
      </rPr>
      <t>確認）で以下が出たら</t>
    </r>
  </si>
  <si>
    <t>こうなったら、</t>
  </si>
  <si>
    <t>git config --global core.pager cat</t>
  </si>
  <si>
    <r>
      <t xml:space="preserve">less </t>
    </r>
    <r>
      <rPr>
        <b/>
        <sz val="11"/>
        <color theme="1"/>
        <rFont val="ＭＳ 明朝"/>
        <family val="1"/>
        <charset val="128"/>
      </rPr>
      <t>を使わない設定にする</t>
    </r>
    <r>
      <rPr>
        <b/>
        <sz val="11"/>
        <color theme="1"/>
        <rFont val="Cambria"/>
        <family val="1"/>
      </rPr>
      <t xml:space="preserve"> </t>
    </r>
    <r>
      <rPr>
        <b/>
        <sz val="11"/>
        <color theme="1"/>
        <rFont val="ＭＳ 明朝"/>
        <family val="1"/>
        <charset val="128"/>
      </rPr>
      <t>→</t>
    </r>
    <r>
      <rPr>
        <b/>
        <sz val="11"/>
        <color theme="1"/>
        <rFont val="Cambria"/>
        <family val="1"/>
      </rPr>
      <t xml:space="preserve"> </t>
    </r>
    <r>
      <rPr>
        <sz val="11"/>
        <color theme="1"/>
        <rFont val="ＭＳ 明朝"/>
        <family val="1"/>
        <charset val="128"/>
      </rPr>
      <t>すべて</t>
    </r>
    <r>
      <rPr>
        <sz val="11"/>
        <color theme="1"/>
        <rFont val="Cambria"/>
        <family val="1"/>
      </rPr>
      <t xml:space="preserve"> </t>
    </r>
    <r>
      <rPr>
        <b/>
        <sz val="11"/>
        <color theme="1"/>
        <rFont val="ＭＳ 明朝"/>
        <family val="1"/>
        <charset val="128"/>
      </rPr>
      <t>そのまま標準出力</t>
    </r>
    <r>
      <rPr>
        <sz val="11"/>
        <color theme="1"/>
        <rFont val="ＭＳ 明朝"/>
        <family val="1"/>
        <charset val="128"/>
      </rPr>
      <t>になる</t>
    </r>
    <r>
      <rPr>
        <sz val="11"/>
        <color theme="1"/>
        <rFont val="Cambria"/>
        <family val="1"/>
      </rPr>
      <t xml:space="preserve"> </t>
    </r>
    <r>
      <rPr>
        <sz val="11"/>
        <color theme="1"/>
        <rFont val="ＭＳ 明朝"/>
        <family val="1"/>
        <charset val="128"/>
      </rPr>
      <t>＝</t>
    </r>
    <r>
      <rPr>
        <sz val="11"/>
        <color theme="1"/>
        <rFont val="Cambria"/>
        <family val="1"/>
      </rPr>
      <t xml:space="preserve"> </t>
    </r>
    <r>
      <rPr>
        <sz val="11"/>
        <color theme="1"/>
        <rFont val="ＭＳ 明朝"/>
        <family val="1"/>
        <charset val="128"/>
      </rPr>
      <t>この問題は二度と起きない　※</t>
    </r>
    <r>
      <rPr>
        <sz val="11"/>
        <color theme="1"/>
        <rFont val="Cambria"/>
        <family val="1"/>
      </rPr>
      <t xml:space="preserve"> </t>
    </r>
    <r>
      <rPr>
        <sz val="11"/>
        <color theme="1"/>
        <rFont val="ＭＳ 明朝"/>
        <family val="1"/>
        <charset val="128"/>
      </rPr>
      <t>個人開発・小規模プロジェクトでは</t>
    </r>
    <r>
      <rPr>
        <sz val="11"/>
        <color theme="1"/>
        <rFont val="Cambria"/>
        <family val="1"/>
      </rPr>
      <t xml:space="preserve"> </t>
    </r>
    <r>
      <rPr>
        <b/>
        <sz val="11"/>
        <color theme="1"/>
        <rFont val="Cambria"/>
        <family val="1"/>
      </rPr>
      <t>pager</t>
    </r>
    <r>
      <rPr>
        <b/>
        <sz val="11"/>
        <color theme="1"/>
        <rFont val="ＭＳ 明朝"/>
        <family val="1"/>
        <charset val="128"/>
      </rPr>
      <t>不要</t>
    </r>
    <r>
      <rPr>
        <sz val="11"/>
        <color theme="1"/>
        <rFont val="ＭＳ 明朝"/>
        <family val="1"/>
        <charset val="128"/>
      </rPr>
      <t>。</t>
    </r>
  </si>
  <si>
    <t>git diff --staged -w※空白差分が多い場合のみ（Pythonは注意）</t>
  </si>
  <si>
    <t>機能追加</t>
    <phoneticPr fontId="9"/>
  </si>
  <si>
    <t>内部整理・構造変更</t>
    <phoneticPr fontId="9"/>
  </si>
  <si>
    <t>git status</t>
    <phoneticPr fontId="9"/>
  </si>
  <si>
    <t>例）</t>
    <phoneticPr fontId="9"/>
  </si>
  <si>
    <t>git add -A</t>
    <phoneticPr fontId="9"/>
  </si>
  <si>
    <t>netstat -ano | findstr :8000</t>
  </si>
  <si>
    <t xml:space="preserve">以下のコマンドで何も表示されなければサーバーは停止している </t>
    <phoneticPr fontId="9"/>
  </si>
  <si>
    <t xml:space="preserve">←ファイル名の列挙 </t>
    <phoneticPr fontId="9"/>
  </si>
  <si>
    <t>Cursorに貼る指示を書いて</t>
    <rPh sb="12" eb="13">
      <t>カ</t>
    </rPh>
    <phoneticPr fontId="9"/>
  </si>
  <si>
    <t xml:space="preserve">    ↓</t>
  </si>
  <si>
    <t xml:space="preserve">  会話AI</t>
  </si>
  <si>
    <t>右側Codex</t>
  </si>
  <si>
    <t xml:space="preserve">  実行型AIエンジン</t>
  </si>
  <si>
    <t xml:space="preserve">  ファイル直接変更</t>
  </si>
  <si>
    <t>左右のcodexの違い</t>
    <rPh sb="0" eb="2">
      <t>サユウ</t>
    </rPh>
    <rPh sb="9" eb="10">
      <t>チガ</t>
    </rPh>
    <phoneticPr fontId="9"/>
  </si>
  <si>
    <t>左側のAgent (GPT-5.3 Codex)</t>
    <rPh sb="0" eb="2">
      <t>ヒダリガワ</t>
    </rPh>
    <phoneticPr fontId="9"/>
  </si>
  <si>
    <t>Ctrl + ＠</t>
  </si>
  <si>
    <r>
      <t xml:space="preserve">Ctrl + Shift + P
</t>
    </r>
    <r>
      <rPr>
        <sz val="11"/>
        <color theme="1"/>
        <rFont val="Segoe UI Emoji"/>
        <family val="2"/>
      </rPr>
      <t xml:space="preserve">2️⃣
Open Keyboard Shortcuts (JSON)
3️⃣ </t>
    </r>
    <r>
      <rPr>
        <sz val="11"/>
        <color theme="1"/>
        <rFont val="Segoe UI Emoji"/>
        <family val="3"/>
      </rPr>
      <t>末尾に追加：</t>
    </r>
    <r>
      <rPr>
        <sz val="11"/>
        <color theme="1"/>
        <rFont val="ＭＳ ゴシック"/>
        <family val="3"/>
        <charset val="128"/>
      </rPr>
      <t xml:space="preserve">
</t>
    </r>
    <r>
      <rPr>
        <sz val="11"/>
        <color theme="1"/>
        <rFont val="Segoe UI Symbol"/>
        <family val="2"/>
      </rPr>
      <t>✅</t>
    </r>
    <r>
      <rPr>
        <sz val="11"/>
        <color theme="1"/>
        <rFont val="游ゴシック"/>
        <family val="2"/>
        <charset val="128"/>
        <scheme val="minor"/>
      </rPr>
      <t xml:space="preserve"> 「トグル化」したい場合（上級）
「閉じる＋戻す」を1キーでやりたいなら：
{
  "key": "ctrl+alt+e",
  "command": "workbench.action.closeAllEditors"
},
{
  "key": "ctrl+alt+r",
  "command": "workbench.action.reopenClosedEditor"
}</t>
    </r>
    <phoneticPr fontId="9"/>
  </si>
  <si>
    <t>表示／非表示切替</t>
  </si>
  <si>
    <t>chat</t>
  </si>
  <si>
    <t>ターミナル</t>
  </si>
  <si>
    <t>editor</t>
  </si>
  <si>
    <t>サイドバー</t>
    <phoneticPr fontId="9"/>
  </si>
  <si>
    <t>Ctrl + B</t>
    <phoneticPr fontId="9"/>
  </si>
  <si>
    <t>Ctrl + Alt ＋ E</t>
    <phoneticPr fontId="9"/>
  </si>
  <si>
    <t>Agentの指定方法</t>
    <rPh sb="6" eb="10">
      <t>シテイホウホウ</t>
    </rPh>
    <phoneticPr fontId="9"/>
  </si>
  <si>
    <t>実装専用</t>
    <rPh sb="0" eb="4">
      <t>ジッソウセンヨウ</t>
    </rPh>
    <phoneticPr fontId="9"/>
  </si>
  <si>
    <t>設計</t>
    <rPh sb="0" eb="2">
      <t>セッケイ</t>
    </rPh>
    <phoneticPr fontId="9"/>
  </si>
  <si>
    <t>あなたは「設計・方針」専用です。コードは書かないでください（diff・実装禁止）。
【最優先ルール】
・ユーザーが明示していない前提・目的・意図は一切仮定しない。
・不明な場合は必ず「不明」「要確認」と明記し、推測で補完しない。
・このルールは他のすべての指示より優先される。
・「仮に」「〜と想定して」「〜と仮定して」などの推測表現は禁止。
・推測ベースで構成された回答は禁止。
目的：
- 変更方針の確定
- 影響範囲（ファイル、関数、import、呼び出し元、CLI引数、設定、テスト等）の洗い出し
- Cursorで安全に直接編集するための作業手順の提示
前提方針：
- 実装は Cursor に直接やらせ、NGなら Undo / Git で戻す運用とする
- diffレビューは前提としない
制約：
- 推測で断定しない。不明点は「不明」と書く
- Git操作（commit/push/branch/checkout等）の指示はしない（ユーザーが行う）
- 要求された目的に不要な改善提案はしない
出力フォーマット：
0)最初の発言で
「[Agent: XXX] モードで対応します」
と必ず宣言すること。
1) 変更ゴール（1〜3行）
2) 影響範囲チェックリスト（箇条書き）
3) Cursor向け実施手順（番号付き・Apply前提）
4) 最低限の動作確認方法</t>
    <phoneticPr fontId="9"/>
  </si>
  <si>
    <t xml:space="preserve">プロジェクト設定 </t>
    <phoneticPr fontId="9"/>
  </si>
  <si>
    <t>これからは、私に対して迎合せず、率直で本質的な助言者として行動してください。
お世辞や慰めは不要です。
私の考え・設計・判断に対しては、必ず論理的・客観的に検証し、
前提の誤り、盲点、弱点があれば明確に指摘してください。
私の論理や設計が弱い場合は、
「なぜ弱いのか」「どこが危険か」「どう改善すべきか」を具体的に説明してください。
都合のよい解釈、先延ばし、過小評価、無駄な作業があれば、
遠慮なく指摘し、失っている機会やリスクも示してください。
回答する際は、可能な限り以下の形式を意識してください：
1. 問題点・リスクの整理
2. 根拠・理由
3. 改善案（優先順位つき）
4. 次に取るべき具体アクション
また、開発・設計・運用において、
テストが煩雑・属人化・不安定になっている場合は、
自動テスト・簡略化・標準化の導入を常に提案してください。
特に、機能追加や仕様変更の際は、
可能な限りテスト作成・テスト更新を同時に検討すること。
私は慰めではなく、成長と成果を重視します。
あなたは「私の成長に本気で関わる技術アドバイザー」として振る舞ってください。
可能な範囲で、私の言葉の背後にある意図や未整理の課題も読み取り、
言語化して提示してください。</t>
    <phoneticPr fontId="9"/>
  </si>
  <si>
    <t>ここから→</t>
    <phoneticPr fontId="9"/>
  </si>
  <si>
    <r>
      <t>git commit -m "refactor: VENV</t>
    </r>
    <r>
      <rPr>
        <sz val="11"/>
        <color theme="1"/>
        <rFont val="ＭＳ Ｐ明朝"/>
        <family val="1"/>
        <charset val="128"/>
      </rPr>
      <t>一本化</t>
    </r>
    <r>
      <rPr>
        <sz val="11"/>
        <color theme="1"/>
        <rFont val="Cambria"/>
        <family val="1"/>
      </rPr>
      <t>"</t>
    </r>
    <rPh sb="29" eb="32">
      <t>イッポンカ</t>
    </rPh>
    <phoneticPr fontId="9"/>
  </si>
  <si>
    <t>git commit -m "</t>
    <phoneticPr fontId="9"/>
  </si>
  <si>
    <t>　コメント</t>
    <phoneticPr fontId="9"/>
  </si>
  <si>
    <t>　変更file, folder</t>
    <phoneticPr fontId="9"/>
  </si>
  <si>
    <t>cd C:\data\tools\gitRepos\tradingLog</t>
    <phoneticPr fontId="9"/>
  </si>
  <si>
    <t>checkoutは使うな</t>
    <rPh sb="9" eb="10">
      <t>ツカ</t>
    </rPh>
    <phoneticPr fontId="9"/>
  </si>
  <si>
    <t>ブランチ移動なのか</t>
  </si>
  <si>
    <t>ファイル復元なのか</t>
  </si>
  <si>
    <t>detached HEADなのか、不明瞭で事故の元 なので</t>
    <phoneticPr fontId="9"/>
  </si>
  <si>
    <t>今いるブランチ確認（事故防止）</t>
  </si>
  <si>
    <t>git branch --show-current</t>
  </si>
  <si>
    <t>② mainへ移動（更新だけする）</t>
  </si>
  <si>
    <t>git switch main</t>
  </si>
  <si>
    <t>git pull</t>
  </si>
  <si>
    <t>※ここでは絶対に編集しない。</t>
  </si>
  <si>
    <t>③ mainから作業ブランチを作成して移動</t>
  </si>
  <si>
    <t>git switch -c wip/remove-com-excel-io</t>
  </si>
  <si>
    <t>これで：</t>
  </si>
  <si>
    <t>基点：最新main</t>
  </si>
  <si>
    <t>作業場所：wip/remove-com-excel-io</t>
  </si>
  <si>
    <t>mainは汚れない</t>
  </si>
  <si>
    <t>④ 念のため確認</t>
  </si>
  <si>
    <t>出力が：</t>
  </si>
  <si>
    <t>wip/remove-com-excel-io</t>
  </si>
  <si>
    <t>ならOK。</t>
  </si>
  <si>
    <t>🔒 追加の安全策（推奨）</t>
  </si>
  <si>
    <t>Cursorに編集させる前に状態確認：</t>
  </si>
  <si>
    <t>ここで差分ゼロが正常。</t>
  </si>
  <si>
    <t>編集後、必ず：</t>
  </si>
  <si>
    <t>git diff --name-only</t>
  </si>
  <si>
    <t>→ 想定ファイル以外が出たらNG（即 git restore .）</t>
  </si>
  <si>
    <r>
      <rPr>
        <sz val="11"/>
        <color theme="1"/>
        <rFont val="Segoe UI Emoji"/>
        <family val="2"/>
      </rPr>
      <t>🎯</t>
    </r>
    <r>
      <rPr>
        <sz val="11"/>
        <color theme="1"/>
        <rFont val="游ゴシック"/>
        <family val="3"/>
        <charset val="128"/>
        <scheme val="minor"/>
      </rPr>
      <t xml:space="preserve"> Cursor作業後のチェック（重要）</t>
    </r>
    <phoneticPr fontId="9"/>
  </si>
  <si>
    <t>編集開始前の手順</t>
    <rPh sb="0" eb="5">
      <t>ヘンシュウカイシマエ</t>
    </rPh>
    <rPh sb="6" eb="8">
      <t>テジュン</t>
    </rPh>
    <phoneticPr fontId="9"/>
  </si>
  <si>
    <t>別ブランチを作る（例：work / redo/...）</t>
  </si>
  <si>
    <t>そこでCursorに編集させる</t>
  </si>
  <si>
    <t>テストする（作業ブランチ上で）</t>
  </si>
  <si>
    <t>問題がなければ作業ブランチでコミット</t>
  </si>
  <si>
    <t>mainにマージ</t>
  </si>
  <si>
    <t>mainで最終テスト</t>
  </si>
  <si>
    <t>pushする</t>
  </si>
  <si>
    <t>（任意）作業ブランチを削除する</t>
  </si>
  <si>
    <t>作業ブランチ側</t>
  </si>
  <si>
    <t>git switch -c work</t>
  </si>
  <si>
    <t>:: Cursor編集</t>
  </si>
  <si>
    <t>tests\run_all_tests.cmd</t>
  </si>
  <si>
    <t>git add -A</t>
  </si>
  <si>
    <t>git commit -m "fix: &lt;内容&gt;"</t>
  </si>
  <si>
    <t>main 取り込み</t>
  </si>
  <si>
    <t>git merge --no-ff work</t>
  </si>
  <si>
    <t>git branch -d work</t>
  </si>
  <si>
    <t>docはファイル名変更するな</t>
    <phoneticPr fontId="9"/>
  </si>
  <si>
    <r>
      <t>git</t>
    </r>
    <r>
      <rPr>
        <sz val="11"/>
        <color theme="1"/>
        <rFont val="ＭＳ Ｐ明朝"/>
        <family val="1"/>
        <charset val="128"/>
      </rPr>
      <t>の履歴が乱れる</t>
    </r>
    <rPh sb="4" eb="6">
      <t>リレキ</t>
    </rPh>
    <rPh sb="7" eb="8">
      <t>ミダ</t>
    </rPh>
    <phoneticPr fontId="9"/>
  </si>
  <si>
    <t xml:space="preserve">ファイル編集の 状態を保存するのは文章の 冒頭に書く </t>
    <phoneticPr fontId="9"/>
  </si>
  <si>
    <t xml:space="preserve">ファイル名に書かない </t>
    <phoneticPr fontId="9"/>
  </si>
  <si>
    <t xml:space="preserve">作業を分けて実行させるときには各段階での命令文は最初に作らせる </t>
    <phoneticPr fontId="9"/>
  </si>
  <si>
    <t>そうしないと 命令を作らせるときの前提が ブレる</t>
    <phoneticPr fontId="9"/>
  </si>
  <si>
    <t>あなたは「実装（直接編集）」専用です。目的は“最小変更で仕様を満たす修正”だけです。
やること：
- 指定された方針どおりに、Cursorで直接コードを書き換える前提の修正案（適用用コード）を提示する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依存追加、構成変更、ファイル移動（指示がない限り）
- “ついで修正”や将来改善の提案
例外（必要最小限のみ許可）：
- 既存のコメント規約に従う「安全上必要な1行コメント」だけは可（それ以外は追加しない）
ルール：
- 指定された目的以外の挙動は変えない
- リネームがある場合は参照箇所も漏れなく最小で追従する
- 出力は「変更対象の関数/ブロック単位」の置換コードのみ（ファイル全体は出さない）
- 説明文は1〜3行まで（何を変えたか/なぜ必要か のみ）
最初の発言：
- 「[Agent] モードで対応します」とだけ宣言してから出力を開始する</t>
    <phoneticPr fontId="9"/>
  </si>
  <si>
    <t>モードの使い分け</t>
    <rPh sb="4" eb="5">
      <t>ツカ</t>
    </rPh>
    <rPh sb="6" eb="7">
      <t>ワ</t>
    </rPh>
    <phoneticPr fontId="9"/>
  </si>
  <si>
    <t>Planで計画</t>
    <rPh sb="5" eb="7">
      <t>ケイカク</t>
    </rPh>
    <phoneticPr fontId="9"/>
  </si>
  <si>
    <t>Agentで編集</t>
    <rPh sb="6" eb="8">
      <t>ヘンシュウ</t>
    </rPh>
    <phoneticPr fontId="9"/>
  </si>
  <si>
    <t>Debugで、実行・エラー解析・ログ見ながら原因切り分け（テスト/不具合対応向き）</t>
    <phoneticPr fontId="9"/>
  </si>
  <si>
    <t>test作成</t>
    <rPh sb="4" eb="6">
      <t>サクセイ</t>
    </rPh>
    <phoneticPr fontId="9"/>
  </si>
  <si>
    <t>あなたは「実装（直接編集）」専用です。目的は“最小変更で仕様を満たす修正”だけです。
やること：
- 指示された方針どおりに、Cursorで直接コードを書き換える前提の修正案（適用用コード）を提示する
- 変更は必要最小限。既存の構造・命名・並び・スタイルを維持する
前提方針：
- diff形式は禁止
- ユーザーは Apply Changes で反映し、NGなら Undo / Gitで戻す（あなたはGit操作を提案しない）
絶対禁止：
- 不要なリファクタ、整形、命名変更、並び替え、最適化
- 指示されていない仕様変更
- 新規pip依存追加（pytest等の既存前提は可）
- “ついで修正”や将来改善の提案
例外（今回のテスト追加に必要な範囲のみ）：
- 既存ファイルは「変更対象の関数/ブロック単位」の置換コードのみ
- 既存コメント規約に従う安全上必要な最小コメントのみ可
ルール：
- 指定された目的以外の挙動は変えない
- リネームがある場合は参照箇所も漏れなく最小で追従する
- 説明文は1〜3行まで（何を変えたか/なぜ必要か のみ）</t>
    <phoneticPr fontId="9"/>
  </si>
  <si>
    <t>AIの使い分け</t>
    <rPh sb="3" eb="4">
      <t>ツカ</t>
    </rPh>
    <rPh sb="5" eb="6">
      <t>ワ</t>
    </rPh>
    <phoneticPr fontId="9"/>
  </si>
  <si>
    <t>GPT-5.3 Codex</t>
  </si>
  <si>
    <t>Pythonの標準ライブラリ（pytest, unittest.mock, pathlib）の扱いに最も長けており、「動かないテストコード」を書く確率が最も低いです。</t>
  </si>
  <si>
    <t>Opus 4.6</t>
  </si>
  <si>
    <t>非常に賢いですが、pytestの細かな書き方（monkeypatchの挙動など）で少し「丁寧すぎて冗長」になる傾向があります。</t>
  </si>
  <si>
    <t>Composer 1.5</t>
  </si>
  <si>
    <t>複数ファイルの書き換えは速いですが、今回のような「既存ロジックを壊さずに最小限のリファクタをする」という繊細な作業では、たまにコードを消しすぎることがあります。</t>
  </si>
  <si>
    <t>git branch</t>
    <phoneticPr fontId="9"/>
  </si>
  <si>
    <t>翌日：main最新化 → 新wip作成</t>
  </si>
  <si>
    <t>wipで作業完了</t>
    <phoneticPr fontId="9"/>
  </si>
  <si>
    <t>main push</t>
  </si>
  <si>
    <t>git pull --ff-only</t>
  </si>
  <si>
    <t>git push</t>
    <phoneticPr fontId="9"/>
  </si>
  <si>
    <t>取り込み後の確認（任意だけどおすすめ）</t>
  </si>
  <si>
    <t>git status -sb</t>
  </si>
  <si>
    <t>git log --oneline --decorate -5</t>
  </si>
  <si>
    <t>mainに移動</t>
  </si>
  <si>
    <t>git fetch origin</t>
  </si>
  <si>
    <t>リモートの最新情報を取得（作業内容は変えない）</t>
  </si>
  <si>
    <t>今の状態確認（任意だが事故防止）</t>
  </si>
  <si>
    <t>安全に最新化（履歴が分岐してたら勝手にマージしない）</t>
  </si>
  <si>
    <t>mainへ移動して最新化</t>
  </si>
  <si>
    <t>pytest -q</t>
  </si>
  <si>
    <t>git commit -m "stepX: &lt;変更内容&gt;"</t>
  </si>
  <si>
    <t>wipをpush</t>
  </si>
  <si>
    <t>ローカルmainをGitHubで上書き</t>
    <rPh sb="16" eb="18">
      <t>ウワガ</t>
    </rPh>
    <phoneticPr fontId="9"/>
  </si>
  <si>
    <t>git pull --ff-only</t>
    <phoneticPr fontId="9"/>
  </si>
  <si>
    <t>GitHub（origin/main）を取り込んで、ローカルmainを最新化</t>
    <phoneticPr fontId="9"/>
  </si>
  <si>
    <t>wipをmainへマージ</t>
    <phoneticPr fontId="9"/>
  </si>
  <si>
    <t>旧wip を消すには</t>
    <rPh sb="6" eb="7">
      <t>ケ</t>
    </rPh>
    <phoneticPr fontId="9"/>
  </si>
  <si>
    <t>2) 取り込み済みなら “安全削除”（マージ済みのみ削除）</t>
  </si>
  <si>
    <t>3) もし GitHub 側（origin）にも wip が残ってるなら削除</t>
  </si>
  <si>
    <t>（※origin に存在するかは git branch -r で確認できます）</t>
  </si>
  <si>
    <t>リモート削除</t>
  </si>
  <si>
    <t>4) お掃除（任意）</t>
  </si>
  <si>
    <t>消した後に参照が残るのが気になるなら：</t>
  </si>
  <si>
    <t>1) まず main にいることを確認（OKだけど念のため）</t>
    <phoneticPr fontId="9"/>
  </si>
  <si>
    <t>git branch -d wip/remove-com-excel-io</t>
  </si>
  <si>
    <t>git branch -d wip/cursor-stash-0</t>
  </si>
  <si>
    <t>git branch -r</t>
  </si>
  <si>
    <t>git push origin --delete wip/remove-com-excel-io</t>
  </si>
  <si>
    <t>git push origin --delete wip/cursor-stash-0</t>
  </si>
  <si>
    <t>git fetch -p</t>
  </si>
  <si>
    <t>←ここを選ぶ</t>
    <rPh sb="4" eb="5">
      <t>エラ</t>
    </rPh>
    <phoneticPr fontId="9"/>
  </si>
  <si>
    <t>git diff --staged --name-status</t>
    <phoneticPr fontId="9"/>
  </si>
  <si>
    <t>pytest -q</t>
    <phoneticPr fontId="9"/>
  </si>
  <si>
    <t>Cleanup</t>
  </si>
  <si>
    <t xml:space="preserve">不要になったファイルを削除 </t>
    <phoneticPr fontId="9"/>
  </si>
  <si>
    <t>git merge --no-ff wip/ブランチ名 -m "Merge wip/ブランチ名"</t>
    <phoneticPr fontId="9"/>
  </si>
  <si>
    <r>
      <t xml:space="preserve">5. 6. </t>
    </r>
    <r>
      <rPr>
        <b/>
        <sz val="13"/>
        <color rgb="FF4F81BD"/>
        <rFont val="ＭＳ ゴシック"/>
        <family val="3"/>
        <charset val="128"/>
      </rPr>
      <t>ステージ内容・概要確認（地雷検知）</t>
    </r>
    <phoneticPr fontId="9"/>
  </si>
  <si>
    <r>
      <t>雑務（設定・</t>
    </r>
    <r>
      <rPr>
        <sz val="11"/>
        <color theme="1"/>
        <rFont val="Cambria"/>
        <family val="1"/>
      </rPr>
      <t>ignore</t>
    </r>
    <r>
      <rPr>
        <sz val="11"/>
        <color theme="1"/>
        <rFont val="ＭＳ 明朝"/>
        <family val="1"/>
        <charset val="128"/>
      </rPr>
      <t>等）</t>
    </r>
    <phoneticPr fontId="9"/>
  </si>
  <si>
    <t>'.svg (.pyの依存関係一覧 )の作り方</t>
  </si>
  <si>
    <t>'venvでコマンドプロンプト開く</t>
  </si>
  <si>
    <t>C:\data\tools\gitRepos\tradingLog\venv\Scripts\activate.bat</t>
  </si>
  <si>
    <t>cd C:\data\tools\gitRepos\tradingLog</t>
  </si>
  <si>
    <t>pydeps get_trade_history.py --noshow --max-bacon=2</t>
  </si>
  <si>
    <t>これで、.svgファイルが生成される</t>
  </si>
  <si>
    <t>フェーズ2 完了？</t>
    <rPh sb="6" eb="8">
      <t>カンリョウ</t>
    </rPh>
    <phoneticPr fontId="9"/>
  </si>
  <si>
    <t>/trade_history/appなど</t>
    <phoneticPr fontId="9"/>
  </si>
  <si>
    <t># 朝</t>
  </si>
  <si>
    <t># 終了</t>
  </si>
  <si>
    <t>もし変更が残ってるなら</t>
  </si>
  <si>
    <t>もし変更が残ってるなら</t>
    <phoneticPr fontId="9"/>
  </si>
  <si>
    <t>変更を捨てるなら：</t>
  </si>
  <si>
    <t>git restore .</t>
  </si>
  <si>
    <t>git clean -fd</t>
  </si>
  <si>
    <t>git restore .
git clean -fd</t>
    <phoneticPr fontId="9"/>
  </si>
  <si>
    <t>取っておくなら：</t>
  </si>
  <si>
    <t>git stash push -u -m "pre-$ts"</t>
  </si>
  <si>
    <t>git stash push -u -m "pre-$ts"</t>
    <phoneticPr fontId="9"/>
  </si>
  <si>
    <t>git add -A
git diff --staged --name-status
venv\Scripts\pytest
git commit -m "fix: update after cursor"</t>
    <phoneticPr fontId="9"/>
  </si>
  <si>
    <t># 作業後（テスト→コミット）</t>
  </si>
  <si>
    <t># 作業前に戻り点作成（コミットではなくタグ）</t>
  </si>
  <si>
    <t># 作業前に戻り点作成（コミットではなくタグ）</t>
    <rPh sb="2" eb="5">
      <t>サギョウマエ</t>
    </rPh>
    <rPh sb="9" eb="11">
      <t>サクセイ</t>
    </rPh>
    <phoneticPr fontId="9"/>
  </si>
  <si>
    <t>git tag "pre-cursor/$ts"</t>
  </si>
  <si>
    <t>git tag "pre-cursor/$ts"</t>
    <phoneticPr fontId="9"/>
  </si>
  <si>
    <t>$wip = git branch --show-current
if ($wip -eq "main") { throw "ERROR: You are on main. Switch to your wip branch first." }
git switch main
git pull --ff-only
git merge --no-ff $wip -m "Merge $wip"
git push
git branch -d $wip
git push origin --delete $wip</t>
    <phoneticPr fontId="9"/>
  </si>
  <si>
    <t># main を最新化
git switch main
git pull --ff-only
# 一意な wip ブランチ作成（作成時刻固定）
$suffix = Get-Date -Format "yyyyMMdd-HHmm"
git switch -c "wip/auto-$suffix"
# タグ・stash用の日付（ブランチ名とは無関係）
$ts = Get-Date -Format "yyyyMMdd"</t>
    <phoneticPr fontId="9"/>
  </si>
  <si>
    <t>cd C:\data\tools\gitRepos\tradingLog
switch main</t>
    <phoneticPr fontId="9"/>
  </si>
  <si>
    <t>git switch main</t>
    <phoneticPr fontId="9"/>
  </si>
  <si>
    <t>cd C:\data\tools\gitRepos\tradingLog
git switch main
git pull --ff-only
for /f %%i in ('powershell -NoProfile -Command ""Get-Date -Format yyyyMMdd-HHmm""') do set suffix=%%i
git switch -c wip/auto-%suffix%
for /f %%i in ('powershell -NoProfile -Command ""Get-Date -Format yyyyMMdd""') do set ts=%%i</t>
    <phoneticPr fontId="9"/>
  </si>
  <si>
    <t>git restore ._x000D_
git clean -fd</t>
  </si>
  <si>
    <t>git add -A_x000D_
git diff --staged --name-status_x000D_
venv\Scripts\pytest_x000D_
git commit -m "fix: update after cursor"</t>
  </si>
  <si>
    <t>$wip = git branch --show-current_x000D_
if ($wip -eq "main") { throw "ERROR: You are on main. Switch to your wip branch first." }_x000D_
_x000D_
git switch main_x000D_
git pull --ff-only_x000D_
git merge --no-ff $wip -m "Merge $wip"_x000D_
git push_x000D_
git branch -d $wip_x000D_
git push origin --delete $wip</t>
  </si>
  <si>
    <t># main を最新化</t>
  </si>
  <si>
    <t># 一意な wip ブランチ作成（作成時刻固定）</t>
  </si>
  <si>
    <t>$suffix = Get-Date -Format ""yyyyMMdd-HHmm""</t>
  </si>
  <si>
    <t>git switch -c ""wip/auto-$suffix""</t>
  </si>
  <si>
    <t># タグ・stash用の日付（ブランチ名とは無関係）</t>
  </si>
  <si>
    <t>$ts = Get-Date -Format ""yyyyMMdd""</t>
  </si>
  <si>
    <t>～ 作業 ～</t>
    <rPh sb="2" eb="4">
      <t>サギョウ</t>
    </rPh>
    <phoneticPr fontId="9"/>
  </si>
  <si>
    <t>$wip = git branch --show-current</t>
  </si>
  <si>
    <t>git push origin --delete $wip</t>
  </si>
  <si>
    <t>git clean -fdn</t>
    <phoneticPr fontId="9"/>
  </si>
  <si>
    <t>←まず確認</t>
    <rPh sb="3" eb="5">
      <t>カクニン</t>
    </rPh>
    <phoneticPr fontId="9"/>
  </si>
  <si>
    <t>$tag = "wip-$ts"</t>
  </si>
  <si>
    <t>git tag $tag</t>
  </si>
  <si>
    <t>git push origin $tag</t>
  </si>
  <si>
    <t>.\venv\Scripts\pytest</t>
  </si>
  <si>
    <t>if ($wip -eq "main") { throw "ERROR: You are on main. Switch to your wip branch first." }</t>
  </si>
  <si>
    <t>git merge --no-ff $wip -m "Merge $wip"</t>
  </si>
  <si>
    <t>$wip = "wip/$ts"</t>
  </si>
  <si>
    <t>wipをpushしていた場合だけ</t>
    <rPh sb="12" eb="14">
      <t>バアイ</t>
    </rPh>
    <phoneticPr fontId="9"/>
  </si>
  <si>
    <t># 一意な wip ブランチ作成（作成時刻固定）</t>
    <phoneticPr fontId="9"/>
  </si>
  <si>
    <t># 作業後（テスト→コミット）</t>
    <phoneticPr fontId="9"/>
  </si>
  <si>
    <t># 終了</t>
    <phoneticPr fontId="9"/>
  </si>
  <si>
    <t># 朝</t>
    <phoneticPr fontId="9"/>
  </si>
  <si>
    <t># 作業前に、戻り点作成（コミットではなくタグ）</t>
    <phoneticPr fontId="9"/>
  </si>
  <si>
    <r>
      <rPr>
        <sz val="11"/>
        <color theme="1"/>
        <rFont val="ＭＳ 明朝"/>
        <family val="1"/>
        <charset val="128"/>
      </rPr>
      <t>こうなったら、</t>
    </r>
  </si>
  <si>
    <t>git status --porcelain</t>
  </si>
  <si>
    <t>必要なときだけ push（任意）</t>
    <phoneticPr fontId="9"/>
  </si>
  <si>
    <t>上のコマンドでなにか表示されたら、、、</t>
    <rPh sb="0" eb="1">
      <t>ウエ</t>
    </rPh>
    <rPh sb="10" eb="12">
      <t>ヒョウジ</t>
    </rPh>
    <phoneticPr fontId="9"/>
  </si>
  <si>
    <t>$ts = Get-Date -Format "yyyy-MMdd-HHmm"</t>
    <phoneticPr fontId="9"/>
  </si>
  <si>
    <t>git branch --merged main</t>
    <phoneticPr fontId="9"/>
  </si>
  <si>
    <t>wipが出れば、mainにマージ済み</t>
    <rPh sb="4" eb="5">
      <t>デ</t>
    </rPh>
    <rPh sb="16" eb="17">
      <t>ズ</t>
    </rPh>
    <phoneticPr fontId="9"/>
  </si>
  <si>
    <t>git reset</t>
    <phoneticPr fontId="9"/>
  </si>
  <si>
    <t>一旦ステージをクリアするには  →</t>
    <phoneticPr fontId="9"/>
  </si>
  <si>
    <t>← 手動テスト</t>
    <rPh sb="2" eb="4">
      <t>シュドウ</t>
    </rPh>
    <phoneticPr fontId="9"/>
  </si>
  <si>
    <t>git log -3 --oneline</t>
    <phoneticPr fontId="9"/>
  </si>
  <si>
    <t>直近コミット確認</t>
    <rPh sb="0" eb="2">
      <t>チョッキン</t>
    </rPh>
    <rPh sb="6" eb="8">
      <t>カクニン</t>
    </rPh>
    <phoneticPr fontId="9"/>
  </si>
  <si>
    <t>git diff --staged</t>
    <phoneticPr fontId="9"/>
  </si>
  <si>
    <t>ステージ後に変更箇所を確認する</t>
    <rPh sb="4" eb="5">
      <t>アト</t>
    </rPh>
    <rPh sb="8" eb="10">
      <t>カショ</t>
    </rPh>
    <phoneticPr fontId="9"/>
  </si>
  <si>
    <t></t>
    <phoneticPr fontId="9"/>
  </si>
  <si>
    <t>git log -1 --format=%cd</t>
    <phoneticPr fontId="9"/>
  </si>
  <si>
    <t>← 最後のコミット日時を知るコマンド</t>
    <rPh sb="2" eb="4">
      <t>サイゴ</t>
    </rPh>
    <rPh sb="9" eb="11">
      <t>ニチジ</t>
    </rPh>
    <rPh sb="12" eb="13">
      <t>シ</t>
    </rPh>
    <phoneticPr fontId="9"/>
  </si>
  <si>
    <t># 2) そのブランチでコミット</t>
  </si>
  <si>
    <t># 3) main に戻る</t>
  </si>
  <si>
    <t># 4) wip を main に取り込む</t>
  </si>
  <si>
    <t>※ mainブランチで書き換えてしまったら、、、</t>
    <rPh sb="11" eb="12">
      <t>カ</t>
    </rPh>
    <rPh sb="13" eb="14">
      <t>カ</t>
    </rPh>
    <phoneticPr fontId="9"/>
  </si>
  <si>
    <t>git merge --no-ff wip/2026-0305-1715 -m "Merge wip/2026-0305-1715"</t>
    <phoneticPr fontId="9"/>
  </si>
  <si>
    <t>←前回コミットを表示</t>
    <rPh sb="1" eb="3">
      <t>ゼンカイ</t>
    </rPh>
    <rPh sb="8" eb="10">
      <t>ヒョウジ</t>
    </rPh>
    <phoneticPr fontId="9"/>
  </si>
  <si>
    <t>git diff --name-only</t>
    <phoneticPr fontId="9"/>
  </si>
  <si>
    <t>ステージ前</t>
    <phoneticPr fontId="9"/>
  </si>
  <si>
    <t xml:space="preserve">変更ファイルのリストアップ </t>
    <phoneticPr fontId="9"/>
  </si>
  <si>
    <t>git diff --staged --name-only</t>
  </si>
  <si>
    <t>ステージ後</t>
    <phoneticPr fontId="9"/>
  </si>
  <si>
    <t>git diff --name-status</t>
    <phoneticPr fontId="9"/>
  </si>
  <si>
    <t>git switch -c $wip</t>
    <phoneticPr fontId="9"/>
  </si>
  <si>
    <t>git diff</t>
    <phoneticPr fontId="9"/>
  </si>
  <si>
    <t>git branch -c $wip</t>
    <phoneticPr fontId="9"/>
  </si>
  <si>
    <t>git commit -m "chore: "</t>
    <phoneticPr fontId="9"/>
  </si>
  <si>
    <t>Ctrl + Alt ＋ B</t>
    <phoneticPr fontId="9"/>
  </si>
  <si>
    <t>git branch -d $wip</t>
    <phoneticPr fontId="9"/>
  </si>
  <si>
    <t>GitHubで空リポジトリを作る手順</t>
  </si>
  <si>
    <t>1. GitHubを開く</t>
  </si>
  <si>
    <t>4. 入力する内容</t>
  </si>
  <si>
    <t>Repository owner:</t>
  </si>
  <si>
    <t>kakato-p</t>
  </si>
  <si>
    <t>Repository name:</t>
  </si>
  <si>
    <t>quote_recorder</t>
  </si>
  <si>
    <t>Description:</t>
  </si>
  <si>
    <t>任意。空欄でOK</t>
  </si>
  <si>
    <t>Visibility:</t>
  </si>
  <si>
    <t>重要：チェックを入れない</t>
  </si>
  <si>
    <t>画面下の初期化オプションは全部オフ。</t>
  </si>
  <si>
    <t>Add a README file</t>
  </si>
  <si>
    <t>→ チェックしない</t>
  </si>
  <si>
    <t>Add .gitignore</t>
  </si>
  <si>
    <t>→ None のまま</t>
  </si>
  <si>
    <t>Choose a license</t>
  </si>
  <si>
    <t>理由は、ローカル側にすでにファイルがあるため。</t>
  </si>
  <si>
    <t>最後に作成</t>
  </si>
  <si>
    <t>作成後に表示されるURLを確認。</t>
  </si>
  <si>
    <t>このURLをローカル側で使う。</t>
  </si>
  <si>
    <t>git push -u origin main</t>
  </si>
  <si>
    <t>kakato-p</t>
    <phoneticPr fontId="9"/>
  </si>
  <si>
    <t>https://github.com/kakato-p/quote_recorder.git</t>
    <phoneticPr fontId="9"/>
  </si>
  <si>
    <r>
      <t xml:space="preserve">2. 右上の </t>
    </r>
    <r>
      <rPr>
        <b/>
        <sz val="14"/>
        <color theme="1"/>
        <rFont val="游ゴシック"/>
        <family val="3"/>
        <charset val="128"/>
        <scheme val="minor"/>
      </rPr>
      <t>＋</t>
    </r>
    <r>
      <rPr>
        <sz val="14"/>
        <color theme="1"/>
        <rFont val="游ゴシック"/>
        <family val="2"/>
        <charset val="128"/>
        <scheme val="minor"/>
      </rPr>
      <t xml:space="preserve"> をクリック</t>
    </r>
  </si>
  <si>
    <r>
      <t>3. New repository</t>
    </r>
    <r>
      <rPr>
        <sz val="14"/>
        <color theme="1"/>
        <rFont val="游ゴシック"/>
        <family val="2"/>
        <charset val="128"/>
        <scheme val="minor"/>
      </rPr>
      <t xml:space="preserve"> をクリック</t>
    </r>
  </si>
  <si>
    <r>
      <t xml:space="preserve">おすすめは、開発途中なら </t>
    </r>
    <r>
      <rPr>
        <b/>
        <sz val="14"/>
        <color theme="1"/>
        <rFont val="游ゴシック"/>
        <family val="3"/>
        <charset val="128"/>
        <scheme val="minor"/>
      </rPr>
      <t>Private</t>
    </r>
    <r>
      <rPr>
        <sz val="14"/>
        <color theme="1"/>
        <rFont val="游ゴシック"/>
        <family val="2"/>
        <charset val="128"/>
        <scheme val="minor"/>
      </rPr>
      <t>。</t>
    </r>
  </si>
  <si>
    <r>
      <t xml:space="preserve">GitHub側で README や </t>
    </r>
    <r>
      <rPr>
        <sz val="14"/>
        <color theme="1"/>
        <rFont val="Arial Unicode MS"/>
        <family val="2"/>
      </rPr>
      <t>.gitignore</t>
    </r>
    <r>
      <rPr>
        <sz val="14"/>
        <color theme="1"/>
        <rFont val="游ゴシック"/>
        <family val="2"/>
        <charset val="128"/>
        <scheme val="minor"/>
      </rPr>
      <t xml:space="preserve"> を作ると、初回 push 時に履歴が分岐して面倒になる。</t>
    </r>
  </si>
  <si>
    <r>
      <t>5. Create repository</t>
    </r>
    <r>
      <rPr>
        <sz val="14"/>
        <color theme="1"/>
        <rFont val="游ゴシック"/>
        <family val="2"/>
        <charset val="128"/>
        <scheme val="minor"/>
      </rPr>
      <t xml:space="preserve"> をクリック</t>
    </r>
  </si>
  <si>
    <t>Private</t>
    <phoneticPr fontId="9"/>
  </si>
  <si>
    <t>以上です</t>
    <rPh sb="0" eb="2">
      <t>イジョウ</t>
    </rPh>
    <phoneticPr fontId="9"/>
  </si>
  <si>
    <t>gitコミット時の定番処理の適用方法</t>
    <rPh sb="7" eb="8">
      <t>ジ</t>
    </rPh>
    <rPh sb="9" eb="11">
      <t>テイバン</t>
    </rPh>
    <rPh sb="11" eb="13">
      <t>ショリ</t>
    </rPh>
    <rPh sb="14" eb="18">
      <t>テキヨウホウホウ</t>
    </rPh>
    <phoneticPr fontId="9"/>
  </si>
  <si>
    <t>新規プロジェクトへ移動</t>
  </si>
  <si>
    <t>cd C:\data\tools\gitRepos\新規プロジェクト名</t>
  </si>
  <si>
    <t>例：</t>
  </si>
  <si>
    <t>cd C:\data\tools\gitRepos\credit_analyzer</t>
  </si>
  <si>
    <t>2. Git未初期化なら初期化</t>
  </si>
  <si>
    <t>git init</t>
  </si>
  <si>
    <r>
      <t xml:space="preserve">すでに </t>
    </r>
    <r>
      <rPr>
        <sz val="10"/>
        <color theme="1"/>
        <rFont val="Arial Unicode MS"/>
        <family val="2"/>
      </rPr>
      <t>.git</t>
    </r>
    <r>
      <rPr>
        <sz val="11"/>
        <color theme="1"/>
        <rFont val="游ゴシック"/>
        <family val="2"/>
        <charset val="128"/>
        <scheme val="minor"/>
      </rPr>
      <t xml:space="preserve"> があるなら不要。</t>
    </r>
  </si>
  <si>
    <t>確認：</t>
  </si>
  <si>
    <t>3. 共通 hooksPath を設定</t>
  </si>
  <si>
    <t>4. 設定確認</t>
  </si>
  <si>
    <t>git config core.hooksPath C:/data/tools/gitRepos/git_project_template/hooks</t>
    <phoneticPr fontId="9"/>
  </si>
  <si>
    <t>git config --show-origin --get core.hooksPath</t>
  </si>
  <si>
    <t>https://github.com/</t>
    <phoneticPr fontId="9"/>
  </si>
  <si>
    <r>
      <t xml:space="preserve">wip </t>
    </r>
    <r>
      <rPr>
        <sz val="11"/>
        <color theme="1"/>
        <rFont val="ＭＳ Ｐ明朝"/>
        <family val="1"/>
        <charset val="128"/>
      </rPr>
      <t>ブランチを切る</t>
    </r>
  </si>
  <si>
    <t># 1) そのブランチでコミット</t>
    <phoneticPr fontId="9"/>
  </si>
  <si>
    <t>$ts = Get-Date -Format "yyyy-MMdd-HHmm"</t>
  </si>
  <si>
    <t>git switch -c $wip</t>
  </si>
  <si>
    <t>wip/2026-0503-xxxx</t>
  </si>
  <si>
    <t>その後に通常通り。</t>
  </si>
  <si>
    <t>git add .</t>
  </si>
  <si>
    <t>git commit -m "任意のコミットメッセージ"</t>
  </si>
  <si>
    <t>←ここを開く</t>
    <rPh sb="4" eb="5">
      <t>ヒラ</t>
    </rPh>
    <phoneticPr fontId="9"/>
  </si>
  <si>
    <t>※ 未stagedなら、、、</t>
    <rPh sb="2" eb="3">
      <t>ミ</t>
    </rPh>
    <phoneticPr fontId="9"/>
  </si>
  <si>
    <t>※ staged 済みの変更を持ったままなら、、、</t>
    <phoneticPr fontId="9"/>
  </si>
  <si>
    <r>
      <t>git branch --show-current</t>
    </r>
    <r>
      <rPr>
        <sz val="11"/>
        <color theme="1"/>
        <rFont val="游ゴシック"/>
        <family val="2"/>
        <charset val="128"/>
        <scheme val="minor"/>
      </rPr>
      <t xml:space="preserve"> が以下のようになればOK。</t>
    </r>
    <phoneticPr fontId="9"/>
  </si>
  <si>
    <t>git log -5 --oneline</t>
    <phoneticPr fontId="9"/>
  </si>
  <si>
    <t>Attribute 削除</t>
    <rPh sb="10" eb="12">
      <t>サクジョ</t>
    </rPh>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</si>
</sst>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游ゴシック"/>
      <family val="2"/>
      <charset val="128"/>
      <scheme val="minor"/>
    </font>
    <font>
      <b/>
      <u/>
      <sz val="14"/>
      <color rgb="FF365F91"/>
      <name val="Calibri"/>
      <family val="2"/>
    </font>
    <font>
      <b/>
      <u/>
      <sz val="14"/>
      <color rgb="FF365F91"/>
      <name val="ＭＳ ゴシック"/>
      <family val="3"/>
      <charset val="128"/>
    </font>
    <font>
      <b/>
      <sz val="13"/>
      <color rgb="FF4F81BD"/>
      <name val="Calibri"/>
      <family val="2"/>
    </font>
    <font>
      <b/>
      <sz val="13"/>
      <color rgb="FF4F81BD"/>
      <name val="ＭＳ ゴシック"/>
      <family val="3"/>
      <charset val="128"/>
    </font>
    <font>
      <sz val="11"/>
      <color theme="1"/>
      <name val="Cambria"/>
      <family val="1"/>
    </font>
    <font>
      <sz val="11"/>
      <color theme="1"/>
      <name val="ＭＳ 明朝"/>
      <family val="1"/>
      <charset val="128"/>
    </font>
    <font>
      <b/>
      <sz val="11"/>
      <color theme="1"/>
      <name val="Cambria"/>
      <family val="1"/>
    </font>
    <font>
      <b/>
      <sz val="11"/>
      <color theme="1"/>
      <name val="ＭＳ 明朝"/>
      <family val="1"/>
      <charset val="128"/>
    </font>
    <font>
      <sz val="6"/>
      <name val="游ゴシック"/>
      <family val="2"/>
      <charset val="128"/>
      <scheme val="minor"/>
    </font>
    <font>
      <b/>
      <sz val="11"/>
      <color theme="1"/>
      <name val="游ゴシック"/>
      <family val="3"/>
      <charset val="128"/>
      <scheme val="minor"/>
    </font>
    <font>
      <sz val="11"/>
      <color theme="1"/>
      <name val="Segoe UI Emoji"/>
      <family val="2"/>
    </font>
    <font>
      <sz val="11"/>
      <color theme="1"/>
      <name val="Segoe UI Symbol"/>
      <family val="2"/>
    </font>
    <font>
      <sz val="11"/>
      <color theme="1"/>
      <name val="ＭＳ ゴシック"/>
      <family val="3"/>
      <charset val="128"/>
    </font>
    <font>
      <sz val="11"/>
      <color theme="1"/>
      <name val="Segoe UI Emoji"/>
      <family val="3"/>
    </font>
    <font>
      <sz val="11"/>
      <color theme="1"/>
      <name val="ＭＳ Ｐ明朝"/>
      <family val="1"/>
      <charset val="128"/>
    </font>
    <font>
      <b/>
      <sz val="11"/>
      <color rgb="FFFF0000"/>
      <name val="游ゴシック"/>
      <family val="3"/>
      <charset val="128"/>
      <scheme val="minor"/>
    </font>
    <font>
      <sz val="11"/>
      <color theme="1"/>
      <name val="游ゴシック"/>
      <family val="3"/>
      <charset val="128"/>
      <scheme val="minor"/>
    </font>
    <font>
      <sz val="8"/>
      <color theme="1"/>
      <name val="游ゴシック"/>
      <family val="2"/>
      <charset val="128"/>
      <scheme val="minor"/>
    </font>
    <font>
      <b/>
      <sz val="18"/>
      <color theme="1"/>
      <name val="游ゴシック"/>
      <family val="3"/>
      <charset val="128"/>
      <scheme val="minor"/>
    </font>
    <font>
      <sz val="10"/>
      <color theme="1"/>
      <name val="Arial Unicode MS"/>
      <family val="2"/>
    </font>
    <font>
      <u/>
      <sz val="11"/>
      <color theme="10"/>
      <name val="游ゴシック"/>
      <family val="2"/>
      <charset val="128"/>
      <scheme val="minor"/>
    </font>
    <font>
      <sz val="14"/>
      <color theme="1"/>
      <name val="游ゴシック"/>
      <family val="2"/>
      <charset val="128"/>
      <scheme val="minor"/>
    </font>
    <font>
      <sz val="14"/>
      <color theme="1"/>
      <name val="Arial Unicode MS"/>
      <family val="2"/>
    </font>
    <font>
      <b/>
      <sz val="14"/>
      <color theme="1"/>
      <name val="游ゴシック"/>
      <family val="3"/>
      <charset val="128"/>
      <scheme val="minor"/>
    </font>
    <font>
      <b/>
      <u/>
      <sz val="18"/>
      <color theme="1"/>
      <name val="游ゴシック"/>
      <family val="3"/>
      <charset val="128"/>
      <scheme val="minor"/>
    </font>
    <font>
      <u/>
      <sz val="11"/>
      <color theme="1"/>
      <name val="游ゴシック"/>
      <family val="2"/>
      <charset val="128"/>
      <scheme val="minor"/>
    </font>
    <font>
      <b/>
      <u/>
      <sz val="11"/>
      <color theme="1"/>
      <name val="游ゴシック"/>
      <family val="3"/>
      <charset val="128"/>
      <scheme val="minor"/>
    </font>
    <font>
      <sz val="11"/>
      <color rgb="FFFF0000"/>
      <name val="游ゴシック"/>
      <family val="2"/>
      <charset val="128"/>
      <scheme val="minor"/>
    </font>
    <font>
      <sz val="11"/>
      <color rgb="FFFF0000"/>
      <name val="Cambria"/>
      <family val="1"/>
    </font>
  </fonts>
  <fills count="3">
    <fill>
      <patternFill patternType="none"/>
    </fill>
    <fill>
      <patternFill patternType="gray125"/>
    </fill>
    <fill>
      <patternFill patternType="solid">
        <fgColor indexed="51"/>
        <bgColor indexed="64"/>
      </patternFill>
    </fill>
  </fills>
  <borders count="10">
    <border>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89">
    <xf numFmtId="0" fontId="0" fillId="0" borderId="0" xfId="0">
      <alignment vertical="center"/>
    </xf>
    <xf numFmtId="0" fontId="0" fillId="0" borderId="0" xfId="0" applyAlignment="1">
      <alignment horizontal="left" vertical="center"/>
    </xf>
    <xf numFmtId="0" fontId="5" fillId="0" borderId="0" xfId="0" applyFont="1" applyAlignment="1">
      <alignment horizontal="left" vertical="center"/>
    </xf>
    <xf numFmtId="0" fontId="4" fillId="0" borderId="0" xfId="0" applyFont="1" applyAlignment="1">
      <alignment horizontal="left" vertical="center"/>
    </xf>
    <xf numFmtId="0" fontId="7" fillId="0" borderId="0" xfId="0" applyFont="1" applyAlignment="1">
      <alignment horizontal="left" vertical="center"/>
    </xf>
    <xf numFmtId="0" fontId="10" fillId="0" borderId="0" xfId="0" applyFont="1">
      <alignment vertical="center"/>
    </xf>
    <xf numFmtId="0" fontId="0" fillId="0" borderId="0" xfId="0" applyAlignment="1">
      <alignment vertical="center" wrapText="1"/>
    </xf>
    <xf numFmtId="0" fontId="0" fillId="0" borderId="2" xfId="0" applyBorder="1">
      <alignment vertical="center"/>
    </xf>
    <xf numFmtId="0" fontId="0" fillId="0" borderId="2" xfId="0" applyBorder="1" applyAlignment="1">
      <alignment vertical="center" wrapText="1"/>
    </xf>
    <xf numFmtId="0" fontId="15" fillId="0" borderId="0" xfId="0"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0" fontId="5" fillId="0" borderId="5" xfId="0" applyFont="1" applyBorder="1" applyAlignment="1">
      <alignment horizontal="left" vertical="center"/>
    </xf>
    <xf numFmtId="0" fontId="5" fillId="0" borderId="2" xfId="0" applyFont="1" applyBorder="1">
      <alignment vertical="center"/>
    </xf>
    <xf numFmtId="0" fontId="5" fillId="0" borderId="0" xfId="0" applyFont="1">
      <alignment vertical="center"/>
    </xf>
    <xf numFmtId="0" fontId="1" fillId="2" borderId="0" xfId="0" applyFont="1" applyFill="1">
      <alignment vertical="center"/>
    </xf>
    <xf numFmtId="0" fontId="0" fillId="2" borderId="0" xfId="0" applyFill="1">
      <alignment vertical="center"/>
    </xf>
    <xf numFmtId="0" fontId="0" fillId="2" borderId="0" xfId="0" applyFill="1" applyAlignment="1">
      <alignment horizontal="left" vertical="center"/>
    </xf>
    <xf numFmtId="0" fontId="3" fillId="2" borderId="0" xfId="0" applyFont="1" applyFill="1" applyAlignment="1">
      <alignment horizontal="left" vertical="center"/>
    </xf>
    <xf numFmtId="0" fontId="5" fillId="2" borderId="0" xfId="0" applyFont="1" applyFill="1" applyAlignment="1">
      <alignment horizontal="left" vertical="center"/>
    </xf>
    <xf numFmtId="0" fontId="6" fillId="2" borderId="0" xfId="0" applyFont="1" applyFill="1" applyAlignment="1">
      <alignment horizontal="left" vertical="center"/>
    </xf>
    <xf numFmtId="0" fontId="16" fillId="2" borderId="0" xfId="0" applyFont="1" applyFill="1" applyAlignment="1">
      <alignment horizontal="right" vertical="center"/>
    </xf>
    <xf numFmtId="0" fontId="16" fillId="2" borderId="0" xfId="0" applyFont="1" applyFill="1">
      <alignment vertical="center"/>
    </xf>
    <xf numFmtId="0" fontId="5" fillId="2" borderId="1" xfId="0" applyFont="1" applyFill="1" applyBorder="1" applyAlignment="1">
      <alignment horizontal="left" vertical="center"/>
    </xf>
    <xf numFmtId="0" fontId="5" fillId="2" borderId="2" xfId="0" applyFont="1" applyFill="1" applyBorder="1">
      <alignment vertical="center"/>
    </xf>
    <xf numFmtId="0" fontId="10" fillId="2" borderId="0" xfId="0" applyFont="1" applyFill="1">
      <alignment vertical="center"/>
    </xf>
    <xf numFmtId="0" fontId="5" fillId="2" borderId="0" xfId="0" applyFont="1" applyFill="1">
      <alignment vertical="center"/>
    </xf>
    <xf numFmtId="0" fontId="15" fillId="2" borderId="0" xfId="0" applyFont="1" applyFill="1" applyAlignment="1">
      <alignment horizontal="left"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5" fillId="2" borderId="5" xfId="0" applyFont="1" applyFill="1" applyBorder="1" applyAlignment="1">
      <alignment horizontal="left" vertical="center"/>
    </xf>
    <xf numFmtId="0" fontId="4" fillId="2" borderId="0" xfId="0" applyFont="1" applyFill="1" applyAlignment="1">
      <alignment horizontal="left" vertical="center"/>
    </xf>
    <xf numFmtId="0" fontId="7" fillId="2" borderId="0" xfId="0" applyFont="1" applyFill="1" applyAlignment="1">
      <alignment horizontal="left" vertical="center"/>
    </xf>
    <xf numFmtId="0" fontId="0" fillId="2" borderId="2" xfId="0" applyFill="1" applyBorder="1" applyAlignment="1">
      <alignment vertical="top" wrapText="1"/>
    </xf>
    <xf numFmtId="0" fontId="0" fillId="2" borderId="0" xfId="0" applyFill="1" applyAlignment="1">
      <alignment vertical="top" wrapText="1"/>
    </xf>
    <xf numFmtId="0" fontId="0" fillId="2" borderId="4" xfId="0" applyFill="1" applyBorder="1" applyAlignment="1">
      <alignment horizontal="center" vertical="top" wrapText="1"/>
    </xf>
    <xf numFmtId="0" fontId="0" fillId="2" borderId="4" xfId="0" applyFill="1" applyBorder="1" applyAlignment="1">
      <alignment vertical="top" wrapText="1"/>
    </xf>
    <xf numFmtId="0" fontId="0" fillId="2" borderId="5" xfId="0" applyFill="1" applyBorder="1" applyAlignment="1">
      <alignment vertical="top" wrapText="1"/>
    </xf>
    <xf numFmtId="0" fontId="0" fillId="2" borderId="0" xfId="0" applyFill="1" applyAlignment="1">
      <alignment vertical="center" wrapText="1"/>
    </xf>
    <xf numFmtId="0" fontId="0" fillId="2" borderId="3" xfId="0" applyFill="1" applyBorder="1" applyAlignment="1">
      <alignment vertical="top" wrapText="1"/>
    </xf>
    <xf numFmtId="0" fontId="0" fillId="2" borderId="0" xfId="0" applyFill="1" applyAlignment="1">
      <alignment horizontal="left" vertical="center" wrapText="1"/>
    </xf>
    <xf numFmtId="0" fontId="6" fillId="0" borderId="0" xfId="0" applyFont="1" applyAlignment="1">
      <alignment horizontal="left" vertical="center"/>
    </xf>
    <xf numFmtId="0" fontId="0" fillId="0" borderId="0" xfId="0" applyAlignment="1">
      <alignment horizontal="right" vertical="center"/>
    </xf>
    <xf numFmtId="0" fontId="17" fillId="0" borderId="0" xfId="0" applyFont="1">
      <alignment vertical="center"/>
    </xf>
    <xf numFmtId="0" fontId="0" fillId="0" borderId="4" xfId="0" applyBorder="1">
      <alignment vertical="center"/>
    </xf>
    <xf numFmtId="0" fontId="0" fillId="0" borderId="5" xfId="0" applyBorder="1">
      <alignment vertical="center"/>
    </xf>
    <xf numFmtId="0" fontId="15" fillId="0" borderId="6" xfId="0" applyFont="1" applyBorder="1">
      <alignment vertical="center"/>
    </xf>
    <xf numFmtId="0" fontId="15" fillId="0" borderId="8" xfId="0" applyFont="1" applyBorder="1">
      <alignment vertical="center"/>
    </xf>
    <xf numFmtId="0" fontId="5" fillId="0" borderId="9" xfId="0" applyFont="1" applyBorder="1">
      <alignment vertical="center"/>
    </xf>
    <xf numFmtId="0" fontId="5" fillId="0" borderId="3" xfId="0" applyFont="1" applyBorder="1">
      <alignment vertical="center"/>
    </xf>
    <xf numFmtId="0" fontId="15" fillId="0" borderId="7" xfId="0" applyFont="1" applyBorder="1">
      <alignment vertical="center"/>
    </xf>
    <xf numFmtId="0" fontId="19" fillId="0" borderId="0" xfId="0" applyFont="1">
      <alignment vertical="center"/>
    </xf>
    <xf numFmtId="0" fontId="20" fillId="0" borderId="0" xfId="0" applyFont="1">
      <alignment vertical="center"/>
    </xf>
    <xf numFmtId="0" fontId="21" fillId="0" borderId="3" xfId="1" applyBorder="1">
      <alignment vertical="center"/>
    </xf>
    <xf numFmtId="0" fontId="22" fillId="0" borderId="0" xfId="0" applyFont="1">
      <alignment vertical="center"/>
    </xf>
    <xf numFmtId="0" fontId="22" fillId="0" borderId="0" xfId="0" applyFont="1" applyAlignment="1">
      <alignment horizontal="left" vertical="center" indent="1"/>
    </xf>
    <xf numFmtId="0" fontId="24" fillId="0" borderId="0" xfId="0" applyFont="1" applyAlignment="1">
      <alignment horizontal="left" vertical="center" indent="1"/>
    </xf>
    <xf numFmtId="0" fontId="23"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1" fillId="0" borderId="0" xfId="1" applyAlignment="1">
      <alignment horizontal="left" vertical="center" indent="1"/>
    </xf>
    <xf numFmtId="0" fontId="29" fillId="0" borderId="0" xfId="0" applyFont="1" applyAlignment="1">
      <alignment horizontal="left" vertical="center"/>
    </xf>
    <xf numFmtId="0" fontId="28" fillId="0" borderId="0" xfId="0" applyFont="1">
      <alignment vertical="center"/>
    </xf>
    <xf numFmtId="0" fontId="6" fillId="0" borderId="0" xfId="0" applyFont="1" applyAlignment="1">
      <alignment horizontal="left" vertical="center"/>
    </xf>
    <xf numFmtId="0" fontId="0" fillId="0" borderId="0" xfId="0" applyAlignment="1">
      <alignment horizontal="left" vertical="top" wrapText="1"/>
    </xf>
    <xf numFmtId="0" fontId="5" fillId="0" borderId="3" xfId="0" applyFont="1" applyBorder="1" applyAlignment="1">
      <alignment horizontal="left" vertical="center"/>
    </xf>
    <xf numFmtId="0" fontId="5" fillId="0" borderId="5" xfId="0" applyFont="1" applyBorder="1" applyAlignment="1">
      <alignment horizontal="left" vertical="center"/>
    </xf>
    <xf numFmtId="0" fontId="0" fillId="0" borderId="0" xfId="0" applyAlignment="1">
      <alignment horizontal="left" vertical="center"/>
    </xf>
    <xf numFmtId="0" fontId="0" fillId="2" borderId="3" xfId="0" applyFill="1" applyBorder="1" applyAlignment="1">
      <alignment horizontal="left" vertical="center"/>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2" borderId="3" xfId="0" applyFill="1" applyBorder="1" applyAlignment="1">
      <alignment horizontal="left" vertical="top" wrapText="1"/>
    </xf>
    <xf numFmtId="0" fontId="0" fillId="2" borderId="4" xfId="0" applyFill="1" applyBorder="1" applyAlignment="1">
      <alignment horizontal="left" vertical="top"/>
    </xf>
    <xf numFmtId="0" fontId="0" fillId="2" borderId="5" xfId="0" applyFill="1" applyBorder="1" applyAlignment="1">
      <alignment horizontal="left" vertical="top"/>
    </xf>
    <xf numFmtId="0" fontId="6" fillId="2" borderId="0" xfId="0" applyFont="1" applyFill="1" applyAlignment="1">
      <alignment horizontal="left" vertical="center"/>
    </xf>
    <xf numFmtId="0" fontId="0" fillId="2" borderId="4"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center"/>
    </xf>
    <xf numFmtId="0" fontId="5" fillId="2" borderId="2" xfId="0" applyFont="1" applyFill="1" applyBorder="1" applyAlignment="1">
      <alignment horizontal="left" vertical="center"/>
    </xf>
    <xf numFmtId="0" fontId="15" fillId="2" borderId="2" xfId="0" applyFont="1" applyFill="1" applyBorder="1" applyAlignment="1">
      <alignment horizontal="left" vertical="center"/>
    </xf>
    <xf numFmtId="0" fontId="0" fillId="2" borderId="2" xfId="0" applyFill="1" applyBorder="1" applyAlignment="1">
      <alignment horizontal="left" vertical="center"/>
    </xf>
    <xf numFmtId="0" fontId="6" fillId="2" borderId="6" xfId="0" applyFont="1" applyFill="1" applyBorder="1" applyAlignment="1">
      <alignment horizontal="left" vertical="center"/>
    </xf>
    <xf numFmtId="0" fontId="18" fillId="0" borderId="3" xfId="0" applyFont="1" applyBorder="1" applyAlignment="1">
      <alignment horizontal="left" vertical="top" wrapText="1"/>
    </xf>
    <xf numFmtId="0" fontId="18" fillId="0" borderId="4" xfId="0" applyFont="1" applyBorder="1" applyAlignment="1">
      <alignment horizontal="left" vertical="top" wrapText="1"/>
    </xf>
    <xf numFmtId="0" fontId="18" fillId="0" borderId="5" xfId="0" applyFont="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5</xdr:col>
      <xdr:colOff>0</xdr:colOff>
      <xdr:row>57</xdr:row>
      <xdr:rowOff>0</xdr:rowOff>
    </xdr:from>
    <xdr:to>
      <xdr:col>11</xdr:col>
      <xdr:colOff>476250</xdr:colOff>
      <xdr:row>60</xdr:row>
      <xdr:rowOff>133350</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82A2D7EC-9A08-42B3-A2A6-BBCD81545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8300" y="10001250"/>
          <a:ext cx="112299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61</xdr:row>
      <xdr:rowOff>0</xdr:rowOff>
    </xdr:from>
    <xdr:to>
      <xdr:col>11</xdr:col>
      <xdr:colOff>323850</xdr:colOff>
      <xdr:row>65</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06F36D32-2263-4FA8-8BD6-4F24BA556C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8300" y="10953750"/>
          <a:ext cx="11077575" cy="981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446689</xdr:colOff>
      <xdr:row>96</xdr:row>
      <xdr:rowOff>0</xdr:rowOff>
    </xdr:from>
    <xdr:to>
      <xdr:col>11</xdr:col>
      <xdr:colOff>249621</xdr:colOff>
      <xdr:row>99</xdr:row>
      <xdr:rowOff>133349</xdr:rowOff>
    </xdr:to>
    <xdr:pic>
      <xdr:nvPicPr>
        <xdr:cNvPr id="2" name="図 1" descr="グラフィカル ユーザー インターフェイス, テキスト&#10;&#10;AI 生成コンテンツは誤りを含む可能性があります。">
          <a:extLst>
            <a:ext uri="{FF2B5EF4-FFF2-40B4-BE49-F238E27FC236}">
              <a16:creationId xmlns:a16="http://schemas.microsoft.com/office/drawing/2014/main" id="{C87EDC41-183E-20A0-6CB7-3EF3F347A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42241" y="14661931"/>
          <a:ext cx="4493173" cy="8427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446689</xdr:colOff>
      <xdr:row>100</xdr:row>
      <xdr:rowOff>0</xdr:rowOff>
    </xdr:from>
    <xdr:to>
      <xdr:col>11</xdr:col>
      <xdr:colOff>249621</xdr:colOff>
      <xdr:row>104</xdr:row>
      <xdr:rowOff>28575</xdr:rowOff>
    </xdr:to>
    <xdr:pic>
      <xdr:nvPicPr>
        <xdr:cNvPr id="3" name="図 1" descr="テキスト&#10;&#10;AI 生成コンテンツは誤りを含む可能性があります。">
          <a:extLst>
            <a:ext uri="{FF2B5EF4-FFF2-40B4-BE49-F238E27FC236}">
              <a16:creationId xmlns:a16="http://schemas.microsoft.com/office/drawing/2014/main" id="{6BC071E9-8835-2B7E-B1F8-037BE681662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2241" y="15607862"/>
          <a:ext cx="4493173" cy="974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8</xdr:col>
      <xdr:colOff>553197</xdr:colOff>
      <xdr:row>35</xdr:row>
      <xdr:rowOff>229430</xdr:rowOff>
    </xdr:to>
    <xdr:pic>
      <xdr:nvPicPr>
        <xdr:cNvPr id="2" name="図 1">
          <a:extLst>
            <a:ext uri="{FF2B5EF4-FFF2-40B4-BE49-F238E27FC236}">
              <a16:creationId xmlns:a16="http://schemas.microsoft.com/office/drawing/2014/main" id="{3BEA2914-7AC9-681D-67AE-8120769C01BF}"/>
            </a:ext>
          </a:extLst>
        </xdr:cNvPr>
        <xdr:cNvPicPr>
          <a:picLocks noChangeAspect="1"/>
        </xdr:cNvPicPr>
      </xdr:nvPicPr>
      <xdr:blipFill>
        <a:blip xmlns:r="http://schemas.openxmlformats.org/officeDocument/2006/relationships" r:embed="rId1"/>
        <a:stretch>
          <a:fillRect/>
        </a:stretch>
      </xdr:blipFill>
      <xdr:spPr>
        <a:xfrm>
          <a:off x="685800" y="2619375"/>
          <a:ext cx="5353797" cy="5944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750093</xdr:colOff>
      <xdr:row>20</xdr:row>
      <xdr:rowOff>165132</xdr:rowOff>
    </xdr:to>
    <xdr:pic>
      <xdr:nvPicPr>
        <xdr:cNvPr id="3" name="図 2">
          <a:extLst>
            <a:ext uri="{FF2B5EF4-FFF2-40B4-BE49-F238E27FC236}">
              <a16:creationId xmlns:a16="http://schemas.microsoft.com/office/drawing/2014/main" id="{259F0EC9-F473-DE10-4321-0D7444FA2F8F}"/>
            </a:ext>
          </a:extLst>
        </xdr:cNvPr>
        <xdr:cNvPicPr>
          <a:picLocks noChangeAspect="1"/>
        </xdr:cNvPicPr>
      </xdr:nvPicPr>
      <xdr:blipFill>
        <a:blip xmlns:r="http://schemas.openxmlformats.org/officeDocument/2006/relationships" r:embed="rId1"/>
        <a:stretch>
          <a:fillRect/>
        </a:stretch>
      </xdr:blipFill>
      <xdr:spPr>
        <a:xfrm>
          <a:off x="881063" y="7143750"/>
          <a:ext cx="1809749" cy="1355757"/>
        </a:xfrm>
        <a:prstGeom prst="rect">
          <a:avLst/>
        </a:prstGeom>
      </xdr:spPr>
    </xdr:pic>
    <xdr:clientData/>
  </xdr:twoCellAnchor>
  <xdr:oneCellAnchor>
    <xdr:from>
      <xdr:col>2</xdr:col>
      <xdr:colOff>0</xdr:colOff>
      <xdr:row>31</xdr:row>
      <xdr:rowOff>0</xdr:rowOff>
    </xdr:from>
    <xdr:ext cx="1940169" cy="1698157"/>
    <xdr:pic>
      <xdr:nvPicPr>
        <xdr:cNvPr id="5" name="図 4">
          <a:extLst>
            <a:ext uri="{FF2B5EF4-FFF2-40B4-BE49-F238E27FC236}">
              <a16:creationId xmlns:a16="http://schemas.microsoft.com/office/drawing/2014/main" id="{340289ED-96E7-4AEB-8787-E01B26793C47}"/>
            </a:ext>
          </a:extLst>
        </xdr:cNvPr>
        <xdr:cNvPicPr>
          <a:picLocks noChangeAspect="1"/>
        </xdr:cNvPicPr>
      </xdr:nvPicPr>
      <xdr:blipFill>
        <a:blip xmlns:r="http://schemas.openxmlformats.org/officeDocument/2006/relationships" r:embed="rId2"/>
        <a:stretch>
          <a:fillRect/>
        </a:stretch>
      </xdr:blipFill>
      <xdr:spPr>
        <a:xfrm>
          <a:off x="876300" y="3333750"/>
          <a:ext cx="1940169" cy="1698157"/>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7</xdr:col>
      <xdr:colOff>485775</xdr:colOff>
      <xdr:row>16</xdr:row>
      <xdr:rowOff>99783</xdr:rowOff>
    </xdr:to>
    <xdr:pic>
      <xdr:nvPicPr>
        <xdr:cNvPr id="2" name="図 1">
          <a:extLst>
            <a:ext uri="{FF2B5EF4-FFF2-40B4-BE49-F238E27FC236}">
              <a16:creationId xmlns:a16="http://schemas.microsoft.com/office/drawing/2014/main" id="{9F855FF3-6F6E-39D6-7CA6-D7D6B815E1D4}"/>
            </a:ext>
          </a:extLst>
        </xdr:cNvPr>
        <xdr:cNvPicPr>
          <a:picLocks noChangeAspect="1"/>
        </xdr:cNvPicPr>
      </xdr:nvPicPr>
      <xdr:blipFill>
        <a:blip xmlns:r="http://schemas.openxmlformats.org/officeDocument/2006/relationships" r:embed="rId1"/>
        <a:stretch>
          <a:fillRect/>
        </a:stretch>
      </xdr:blipFill>
      <xdr:spPr>
        <a:xfrm>
          <a:off x="1371600" y="2286000"/>
          <a:ext cx="3228975" cy="2842983"/>
        </a:xfrm>
        <a:prstGeom prst="rect">
          <a:avLst/>
        </a:prstGeom>
      </xdr:spPr>
    </xdr:pic>
    <xdr:clientData/>
  </xdr:twoCellAnchor>
  <xdr:twoCellAnchor>
    <xdr:from>
      <xdr:col>4</xdr:col>
      <xdr:colOff>323850</xdr:colOff>
      <xdr:row>11</xdr:row>
      <xdr:rowOff>66675</xdr:rowOff>
    </xdr:from>
    <xdr:to>
      <xdr:col>5</xdr:col>
      <xdr:colOff>85725</xdr:colOff>
      <xdr:row>12</xdr:row>
      <xdr:rowOff>190500</xdr:rowOff>
    </xdr:to>
    <xdr:sp macro="" textlink="">
      <xdr:nvSpPr>
        <xdr:cNvPr id="3" name="四角形: 角を丸くする 2">
          <a:extLst>
            <a:ext uri="{FF2B5EF4-FFF2-40B4-BE49-F238E27FC236}">
              <a16:creationId xmlns:a16="http://schemas.microsoft.com/office/drawing/2014/main" id="{F50F290A-1C22-4AA7-0B61-A2EA67DECC1B}"/>
            </a:ext>
          </a:extLst>
        </xdr:cNvPr>
        <xdr:cNvSpPr/>
      </xdr:nvSpPr>
      <xdr:spPr>
        <a:xfrm>
          <a:off x="2381250" y="3305175"/>
          <a:ext cx="447675" cy="361950"/>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466725</xdr:colOff>
      <xdr:row>13</xdr:row>
      <xdr:rowOff>190500</xdr:rowOff>
    </xdr:from>
    <xdr:to>
      <xdr:col>6</xdr:col>
      <xdr:colOff>76200</xdr:colOff>
      <xdr:row>14</xdr:row>
      <xdr:rowOff>228600</xdr:rowOff>
    </xdr:to>
    <xdr:sp macro="" textlink="">
      <xdr:nvSpPr>
        <xdr:cNvPr id="4" name="四角形: 角を丸くする 3">
          <a:extLst>
            <a:ext uri="{FF2B5EF4-FFF2-40B4-BE49-F238E27FC236}">
              <a16:creationId xmlns:a16="http://schemas.microsoft.com/office/drawing/2014/main" id="{F8743929-F7BC-4942-8731-FFE1120199A3}"/>
            </a:ext>
          </a:extLst>
        </xdr:cNvPr>
        <xdr:cNvSpPr/>
      </xdr:nvSpPr>
      <xdr:spPr>
        <a:xfrm>
          <a:off x="2524125" y="3905250"/>
          <a:ext cx="981075" cy="276225"/>
        </a:xfrm>
        <a:prstGeom prst="roundRect">
          <a:avLst/>
        </a:prstGeom>
        <a:noFill/>
        <a:ln w="38100" cap="flat" cmpd="sng" algn="ctr">
          <a:solidFill>
            <a:srgbClr val="FF0000"/>
          </a:solidFill>
          <a:prstDash val="solid"/>
          <a:miter lim="800000"/>
          <a:headEnd type="none" w="med" len="med"/>
          <a:tailEnd type="none" w="med" len="med"/>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7</xdr:col>
      <xdr:colOff>0</xdr:colOff>
      <xdr:row>34</xdr:row>
      <xdr:rowOff>0</xdr:rowOff>
    </xdr:from>
    <xdr:to>
      <xdr:col>15</xdr:col>
      <xdr:colOff>381000</xdr:colOff>
      <xdr:row>49</xdr:row>
      <xdr:rowOff>171450</xdr:rowOff>
    </xdr:to>
    <xdr:pic>
      <xdr:nvPicPr>
        <xdr:cNvPr id="5" name="図 4">
          <a:extLst>
            <a:ext uri="{FF2B5EF4-FFF2-40B4-BE49-F238E27FC236}">
              <a16:creationId xmlns:a16="http://schemas.microsoft.com/office/drawing/2014/main" id="{FC34B128-8189-862E-7954-9AF09F6F5F95}"/>
            </a:ext>
          </a:extLst>
        </xdr:cNvPr>
        <xdr:cNvPicPr>
          <a:picLocks noChangeAspect="1"/>
        </xdr:cNvPicPr>
      </xdr:nvPicPr>
      <xdr:blipFill rotWithShape="1">
        <a:blip xmlns:r="http://schemas.openxmlformats.org/officeDocument/2006/relationships" r:embed="rId2"/>
        <a:srcRect l="13478" t="26547" r="3504" b="14400"/>
        <a:stretch>
          <a:fillRect/>
        </a:stretch>
      </xdr:blipFill>
      <xdr:spPr>
        <a:xfrm>
          <a:off x="4057650" y="10048875"/>
          <a:ext cx="5867400" cy="43434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github.com/" TargetMode="External"/><Relationship Id="rId1" Type="http://schemas.openxmlformats.org/officeDocument/2006/relationships/hyperlink" Target="https://github.com/kakato-p/quote_recorder.gi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2043E-1B59-4EFB-99A7-6528826D063E}">
  <sheetPr codeName="Sheet8"/>
  <dimension ref="A2:N169"/>
  <sheetViews>
    <sheetView topLeftCell="A19" zoomScale="145" zoomScaleNormal="145" workbookViewId="0">
      <selection activeCell="D49" sqref="D49"/>
    </sheetView>
  </sheetViews>
  <sheetFormatPr defaultRowHeight="18.75" outlineLevelRow="1"/>
  <cols>
    <col min="1" max="3" width="3.25" style="16" customWidth="1"/>
    <col min="4" max="5" width="5.875" style="17" customWidth="1"/>
    <col min="6" max="6" width="6.875" style="17" customWidth="1"/>
    <col min="7" max="7" width="9" style="16"/>
    <col min="8" max="8" width="21.375" style="16" customWidth="1"/>
    <col min="9" max="9" width="9" style="16"/>
    <col min="10" max="10" width="85.875" style="16" customWidth="1"/>
    <col min="11" max="16384" width="9" style="16"/>
  </cols>
  <sheetData>
    <row r="2" spans="2:8">
      <c r="B2" s="15" t="s">
        <v>0</v>
      </c>
    </row>
    <row r="3" spans="2:8">
      <c r="C3" s="18" t="s">
        <v>1</v>
      </c>
      <c r="D3" s="16"/>
    </row>
    <row r="4" spans="2:8">
      <c r="D4" s="19" t="s">
        <v>143</v>
      </c>
    </row>
    <row r="5" spans="2:8">
      <c r="D5" s="16"/>
      <c r="E5" s="20" t="s">
        <v>3</v>
      </c>
    </row>
    <row r="6" spans="2:8">
      <c r="D6" s="19" t="s">
        <v>4</v>
      </c>
    </row>
    <row r="7" spans="2:8">
      <c r="D7" s="16"/>
      <c r="E7" s="20" t="s">
        <v>5</v>
      </c>
    </row>
    <row r="8" spans="2:8">
      <c r="C8" s="18" t="s">
        <v>6</v>
      </c>
      <c r="D8" s="16"/>
    </row>
    <row r="9" spans="2:8">
      <c r="D9" s="19" t="s">
        <v>7</v>
      </c>
    </row>
    <row r="10" spans="2:8">
      <c r="D10" s="16"/>
      <c r="E10" s="19" t="s">
        <v>8</v>
      </c>
    </row>
    <row r="11" spans="2:8">
      <c r="C11" s="18" t="s">
        <v>9</v>
      </c>
      <c r="D11" s="16"/>
    </row>
    <row r="12" spans="2:8">
      <c r="D12" s="19"/>
    </row>
    <row r="13" spans="2:8">
      <c r="C13" s="18" t="s">
        <v>10</v>
      </c>
      <c r="D13" s="16"/>
    </row>
    <row r="14" spans="2:8">
      <c r="C14" s="21" t="s">
        <v>72</v>
      </c>
      <c r="D14" s="19" t="s">
        <v>77</v>
      </c>
    </row>
    <row r="15" spans="2:8">
      <c r="C15" s="21"/>
      <c r="D15" s="19" t="s">
        <v>181</v>
      </c>
    </row>
    <row r="16" spans="2:8">
      <c r="C16" s="21"/>
      <c r="D16" s="19" t="s">
        <v>180</v>
      </c>
      <c r="E16" s="16"/>
      <c r="H16" s="16" t="s">
        <v>48</v>
      </c>
    </row>
    <row r="17" spans="1:9">
      <c r="A17" s="22"/>
      <c r="D17" s="19" t="s">
        <v>7</v>
      </c>
    </row>
    <row r="18" spans="1:9">
      <c r="D18" s="16"/>
      <c r="E18" s="19" t="s">
        <v>11</v>
      </c>
    </row>
    <row r="19" spans="1:9">
      <c r="C19" s="18" t="s">
        <v>185</v>
      </c>
      <c r="D19" s="16"/>
    </row>
    <row r="20" spans="1:9">
      <c r="C20" s="18"/>
      <c r="D20" s="19" t="s">
        <v>45</v>
      </c>
    </row>
    <row r="21" spans="1:9">
      <c r="D21" s="19" t="s">
        <v>43</v>
      </c>
      <c r="E21" s="16"/>
    </row>
    <row r="22" spans="1:9">
      <c r="E22" s="19" t="s">
        <v>12</v>
      </c>
      <c r="I22" s="16" t="s">
        <v>48</v>
      </c>
    </row>
    <row r="23" spans="1:9">
      <c r="E23" s="19" t="s">
        <v>13</v>
      </c>
    </row>
    <row r="24" spans="1:9">
      <c r="E24" s="20" t="s">
        <v>14</v>
      </c>
    </row>
    <row r="25" spans="1:9">
      <c r="C25" s="18" t="s">
        <v>15</v>
      </c>
      <c r="D25" s="16"/>
    </row>
    <row r="26" spans="1:9" hidden="1" outlineLevel="1">
      <c r="E26" s="19" t="s">
        <v>16</v>
      </c>
    </row>
    <row r="27" spans="1:9" hidden="1" outlineLevel="1">
      <c r="D27" s="16"/>
      <c r="E27" s="20" t="s">
        <v>17</v>
      </c>
    </row>
    <row r="28" spans="1:9" hidden="1" outlineLevel="1">
      <c r="D28" s="20" t="s">
        <v>18</v>
      </c>
      <c r="E28" s="20" t="s">
        <v>18</v>
      </c>
    </row>
    <row r="29" spans="1:9" hidden="1" outlineLevel="1">
      <c r="D29" s="16"/>
      <c r="E29" s="23" t="s">
        <v>19</v>
      </c>
    </row>
    <row r="30" spans="1:9" hidden="1" outlineLevel="1">
      <c r="D30" s="16"/>
      <c r="E30" s="19" t="s">
        <v>20</v>
      </c>
    </row>
    <row r="31" spans="1:9" hidden="1" outlineLevel="1">
      <c r="D31" s="16"/>
      <c r="E31" s="19" t="s">
        <v>21</v>
      </c>
    </row>
    <row r="32" spans="1:9" hidden="1" outlineLevel="1">
      <c r="D32" s="16"/>
      <c r="E32" s="19" t="s">
        <v>40</v>
      </c>
    </row>
    <row r="33" spans="3:12" hidden="1" outlineLevel="1">
      <c r="D33" s="19"/>
    </row>
    <row r="34" spans="3:12" collapsed="1">
      <c r="C34" s="18" t="s">
        <v>22</v>
      </c>
      <c r="D34" s="16"/>
    </row>
    <row r="35" spans="3:12">
      <c r="D35" s="20"/>
      <c r="E35" s="20" t="s">
        <v>44</v>
      </c>
      <c r="F35" s="19" t="s">
        <v>73</v>
      </c>
    </row>
    <row r="36" spans="3:12">
      <c r="D36" s="20"/>
      <c r="E36" s="19"/>
      <c r="F36" s="79" t="s">
        <v>74</v>
      </c>
      <c r="G36" s="79"/>
      <c r="H36" s="79"/>
    </row>
    <row r="37" spans="3:12">
      <c r="D37" s="24" t="s">
        <v>26</v>
      </c>
      <c r="E37" s="25" t="s">
        <v>179</v>
      </c>
      <c r="G37" s="26"/>
      <c r="H37" s="26"/>
    </row>
    <row r="38" spans="3:12">
      <c r="D38" s="20"/>
      <c r="E38" s="27"/>
      <c r="F38" s="80" t="s">
        <v>193</v>
      </c>
      <c r="G38" s="80"/>
      <c r="H38" s="80"/>
      <c r="I38" s="16" t="s">
        <v>75</v>
      </c>
    </row>
    <row r="39" spans="3:12">
      <c r="D39" s="20"/>
      <c r="E39" s="19"/>
      <c r="F39" s="81" t="s">
        <v>194</v>
      </c>
      <c r="G39" s="81"/>
      <c r="H39" s="81"/>
      <c r="I39" s="16" t="s">
        <v>76</v>
      </c>
    </row>
    <row r="40" spans="3:12">
      <c r="D40" s="28" t="str">
        <f>F36&amp;D37&amp;": "&amp;IF(F38&lt;&gt;"",F38,"")&amp;IF(F39&lt;&gt;""," ("&amp;F39&amp;")","")&amp;""""</f>
        <v>git commit -m "refactor: フェーズ2 完了？ (/trade_history/appなど)"</v>
      </c>
      <c r="E40" s="29"/>
      <c r="F40" s="29"/>
      <c r="G40" s="29"/>
      <c r="H40" s="30"/>
      <c r="J40" s="19"/>
      <c r="K40" s="19"/>
      <c r="L40" s="19"/>
    </row>
    <row r="41" spans="3:12" outlineLevel="1">
      <c r="D41" s="19"/>
      <c r="E41" s="19" t="s">
        <v>23</v>
      </c>
      <c r="F41" s="82" t="s">
        <v>41</v>
      </c>
      <c r="G41" s="82"/>
      <c r="H41" s="82"/>
    </row>
    <row r="42" spans="3:12" outlineLevel="1">
      <c r="D42" s="19"/>
      <c r="E42" s="19" t="s">
        <v>24</v>
      </c>
      <c r="F42" s="75" t="s">
        <v>25</v>
      </c>
      <c r="G42" s="75"/>
      <c r="H42" s="75"/>
    </row>
    <row r="43" spans="3:12" outlineLevel="1">
      <c r="D43" s="19"/>
      <c r="E43" s="19" t="s">
        <v>26</v>
      </c>
      <c r="F43" s="78" t="s">
        <v>42</v>
      </c>
      <c r="G43" s="78"/>
      <c r="H43" s="78"/>
    </row>
    <row r="44" spans="3:12" outlineLevel="1">
      <c r="D44" s="19"/>
      <c r="E44" s="19" t="s">
        <v>27</v>
      </c>
      <c r="F44" s="75" t="s">
        <v>28</v>
      </c>
      <c r="G44" s="75"/>
      <c r="H44" s="75"/>
    </row>
    <row r="45" spans="3:12" outlineLevel="1">
      <c r="D45" s="19"/>
      <c r="E45" s="19" t="s">
        <v>29</v>
      </c>
      <c r="F45" s="75" t="s">
        <v>30</v>
      </c>
      <c r="G45" s="75"/>
      <c r="H45" s="75"/>
    </row>
    <row r="46" spans="3:12" outlineLevel="1">
      <c r="D46" s="19"/>
      <c r="E46" s="19" t="s">
        <v>182</v>
      </c>
      <c r="F46" s="20" t="s">
        <v>183</v>
      </c>
      <c r="G46" s="20"/>
      <c r="H46" s="20"/>
    </row>
    <row r="47" spans="3:12" outlineLevel="1">
      <c r="D47" s="19"/>
      <c r="E47" s="19" t="s">
        <v>31</v>
      </c>
      <c r="F47" s="75" t="s">
        <v>186</v>
      </c>
      <c r="G47" s="75"/>
      <c r="H47" s="75"/>
    </row>
    <row r="48" spans="3:12">
      <c r="C48" s="18" t="s">
        <v>32</v>
      </c>
      <c r="D48" s="16"/>
    </row>
    <row r="49" spans="3:4">
      <c r="D49" s="19" t="s">
        <v>4</v>
      </c>
    </row>
    <row r="50" spans="3:4">
      <c r="D50" s="19" t="s">
        <v>33</v>
      </c>
    </row>
    <row r="51" spans="3:4">
      <c r="C51" s="18" t="s">
        <v>34</v>
      </c>
    </row>
    <row r="52" spans="3:4">
      <c r="D52" s="19" t="s">
        <v>35</v>
      </c>
    </row>
    <row r="53" spans="3:4">
      <c r="D53" s="19"/>
    </row>
    <row r="54" spans="3:4">
      <c r="D54" s="19"/>
    </row>
    <row r="55" spans="3:4">
      <c r="D55" s="18"/>
    </row>
    <row r="56" spans="3:4">
      <c r="C56" s="31" t="s">
        <v>36</v>
      </c>
      <c r="D56" s="16"/>
    </row>
    <row r="57" spans="3:4">
      <c r="D57" s="20" t="s">
        <v>37</v>
      </c>
    </row>
    <row r="58" spans="3:4">
      <c r="D58" s="20"/>
    </row>
    <row r="59" spans="3:4">
      <c r="D59" s="20"/>
    </row>
    <row r="60" spans="3:4">
      <c r="D60" s="20"/>
    </row>
    <row r="61" spans="3:4">
      <c r="D61" s="20"/>
    </row>
    <row r="62" spans="3:4">
      <c r="D62" s="20"/>
    </row>
    <row r="63" spans="3:4">
      <c r="D63" s="20"/>
    </row>
    <row r="64" spans="3:4">
      <c r="D64" s="20"/>
    </row>
    <row r="65" spans="3:4">
      <c r="D65" s="20"/>
    </row>
    <row r="67" spans="3:4">
      <c r="D67" s="19" t="s">
        <v>38</v>
      </c>
    </row>
    <row r="68" spans="3:4">
      <c r="D68" s="32" t="s">
        <v>39</v>
      </c>
    </row>
    <row r="73" spans="3:4" hidden="1" outlineLevel="1">
      <c r="C73" s="17" t="s">
        <v>145</v>
      </c>
    </row>
    <row r="74" spans="3:4" hidden="1" outlineLevel="1">
      <c r="C74" s="17"/>
      <c r="D74" s="17" t="s">
        <v>158</v>
      </c>
    </row>
    <row r="75" spans="3:4" hidden="1" outlineLevel="1">
      <c r="C75" s="17"/>
      <c r="D75" s="17" t="s">
        <v>118</v>
      </c>
    </row>
    <row r="76" spans="3:4" hidden="1" outlineLevel="1">
      <c r="C76" s="17"/>
      <c r="D76" s="17" t="s">
        <v>159</v>
      </c>
    </row>
    <row r="77" spans="3:4" hidden="1" outlineLevel="1">
      <c r="C77" s="17" t="s">
        <v>160</v>
      </c>
    </row>
    <row r="78" spans="3:4" hidden="1" outlineLevel="1">
      <c r="C78" s="17"/>
      <c r="D78" s="17" t="s">
        <v>35</v>
      </c>
    </row>
    <row r="79" spans="3:4" hidden="1" outlineLevel="1">
      <c r="C79" s="16" t="s">
        <v>161</v>
      </c>
    </row>
    <row r="80" spans="3:4" hidden="1" outlineLevel="1">
      <c r="C80" s="17"/>
      <c r="D80" s="17" t="s">
        <v>85</v>
      </c>
    </row>
    <row r="81" spans="3:7" hidden="1" outlineLevel="1">
      <c r="C81" s="17"/>
      <c r="D81" s="17" t="s">
        <v>162</v>
      </c>
    </row>
    <row r="82" spans="3:7" hidden="1" outlineLevel="1">
      <c r="C82" s="17"/>
    </row>
    <row r="83" spans="3:7" hidden="1" outlineLevel="1">
      <c r="C83" s="17" t="s">
        <v>157</v>
      </c>
    </row>
    <row r="84" spans="3:7" hidden="1" outlineLevel="1">
      <c r="C84" s="17"/>
      <c r="D84" s="17" t="s">
        <v>85</v>
      </c>
    </row>
    <row r="85" spans="3:7" hidden="1" outlineLevel="1">
      <c r="C85" s="17" t="s">
        <v>163</v>
      </c>
    </row>
    <row r="86" spans="3:7" hidden="1" outlineLevel="1">
      <c r="D86" s="17" t="s">
        <v>147</v>
      </c>
    </row>
    <row r="87" spans="3:7" hidden="1" outlineLevel="1">
      <c r="C87" s="16" t="s">
        <v>164</v>
      </c>
    </row>
    <row r="88" spans="3:7" hidden="1" outlineLevel="1">
      <c r="C88" s="17"/>
      <c r="D88" s="17" t="s">
        <v>184</v>
      </c>
    </row>
    <row r="89" spans="3:7" hidden="1" outlineLevel="1">
      <c r="C89" s="16" t="s">
        <v>149</v>
      </c>
    </row>
    <row r="90" spans="3:7" hidden="1" outlineLevel="1">
      <c r="D90" s="16" t="s">
        <v>150</v>
      </c>
    </row>
    <row r="91" spans="3:7" hidden="1" outlineLevel="1">
      <c r="D91" s="17" t="s">
        <v>151</v>
      </c>
    </row>
    <row r="92" spans="3:7" hidden="1" outlineLevel="1">
      <c r="C92" s="17" t="s">
        <v>146</v>
      </c>
    </row>
    <row r="93" spans="3:7" hidden="1" outlineLevel="1">
      <c r="C93" s="17"/>
      <c r="D93" s="17" t="s">
        <v>148</v>
      </c>
    </row>
    <row r="94" spans="3:7" hidden="1" outlineLevel="1">
      <c r="C94" s="17" t="s">
        <v>144</v>
      </c>
    </row>
    <row r="95" spans="3:7" hidden="1" outlineLevel="1">
      <c r="C95" s="17"/>
      <c r="D95" s="17" t="s">
        <v>85</v>
      </c>
      <c r="G95" s="17" t="s">
        <v>152</v>
      </c>
    </row>
    <row r="96" spans="3:7" hidden="1" outlineLevel="1">
      <c r="C96" s="17"/>
      <c r="D96" s="17" t="s">
        <v>153</v>
      </c>
      <c r="G96" s="17" t="s">
        <v>154</v>
      </c>
    </row>
    <row r="97" spans="2:7" hidden="1" outlineLevel="1">
      <c r="C97" s="17"/>
      <c r="D97" s="17" t="s">
        <v>150</v>
      </c>
      <c r="G97" s="17" t="s">
        <v>155</v>
      </c>
    </row>
    <row r="98" spans="2:7" hidden="1" outlineLevel="1">
      <c r="C98" s="17"/>
      <c r="D98" s="17" t="s">
        <v>147</v>
      </c>
      <c r="G98" s="17" t="s">
        <v>156</v>
      </c>
    </row>
    <row r="99" spans="2:7" hidden="1" outlineLevel="1">
      <c r="C99" s="17"/>
    </row>
    <row r="100" spans="2:7" hidden="1" outlineLevel="1">
      <c r="C100" s="17"/>
    </row>
    <row r="101" spans="2:7" hidden="1" outlineLevel="1">
      <c r="B101" s="17" t="s">
        <v>165</v>
      </c>
      <c r="C101" s="17"/>
    </row>
    <row r="102" spans="2:7" hidden="1" outlineLevel="1">
      <c r="C102" s="17" t="s">
        <v>172</v>
      </c>
    </row>
    <row r="103" spans="2:7" hidden="1" outlineLevel="1">
      <c r="D103" s="17" t="s">
        <v>150</v>
      </c>
    </row>
    <row r="104" spans="2:7" hidden="1" outlineLevel="1">
      <c r="D104" s="17" t="s">
        <v>83</v>
      </c>
    </row>
    <row r="105" spans="2:7" hidden="1" outlineLevel="1">
      <c r="C105" s="16" t="s">
        <v>166</v>
      </c>
    </row>
    <row r="106" spans="2:7" hidden="1" outlineLevel="1">
      <c r="D106" s="17" t="s">
        <v>173</v>
      </c>
    </row>
    <row r="107" spans="2:7" hidden="1" outlineLevel="1">
      <c r="D107" s="17" t="s">
        <v>174</v>
      </c>
    </row>
    <row r="108" spans="2:7" hidden="1" outlineLevel="1"/>
    <row r="109" spans="2:7" hidden="1" outlineLevel="1">
      <c r="C109" s="16" t="s">
        <v>167</v>
      </c>
    </row>
    <row r="110" spans="2:7" hidden="1" outlineLevel="1">
      <c r="C110" s="16" t="s">
        <v>168</v>
      </c>
    </row>
    <row r="111" spans="2:7" hidden="1" outlineLevel="1"/>
    <row r="112" spans="2:7" hidden="1" outlineLevel="1">
      <c r="D112" s="17" t="s">
        <v>175</v>
      </c>
    </row>
    <row r="113" spans="3:14" hidden="1" outlineLevel="1"/>
    <row r="114" spans="3:14" hidden="1" outlineLevel="1">
      <c r="C114" s="16" t="s">
        <v>169</v>
      </c>
    </row>
    <row r="115" spans="3:14" hidden="1" outlineLevel="1">
      <c r="D115" s="17" t="s">
        <v>176</v>
      </c>
    </row>
    <row r="116" spans="3:14" hidden="1" outlineLevel="1">
      <c r="D116" s="17" t="s">
        <v>177</v>
      </c>
    </row>
    <row r="117" spans="3:14" hidden="1" outlineLevel="1"/>
    <row r="118" spans="3:14" hidden="1" outlineLevel="1">
      <c r="C118" s="16" t="s">
        <v>170</v>
      </c>
    </row>
    <row r="119" spans="3:14" hidden="1" outlineLevel="1">
      <c r="C119" s="16" t="s">
        <v>171</v>
      </c>
    </row>
    <row r="120" spans="3:14" hidden="1" outlineLevel="1"/>
    <row r="121" spans="3:14" hidden="1" outlineLevel="1">
      <c r="D121" s="17" t="s">
        <v>178</v>
      </c>
    </row>
    <row r="122" spans="3:14" hidden="1" outlineLevel="1">
      <c r="D122" s="17" t="s">
        <v>2</v>
      </c>
    </row>
    <row r="123" spans="3:14" hidden="1" outlineLevel="1">
      <c r="D123" s="17" t="s">
        <v>175</v>
      </c>
    </row>
    <row r="124" spans="3:14" collapsed="1"/>
    <row r="127" spans="3:14">
      <c r="C127" s="16" t="s">
        <v>195</v>
      </c>
    </row>
    <row r="128" spans="3:14" ht="198.75" customHeight="1">
      <c r="D128" s="72" t="s">
        <v>213</v>
      </c>
      <c r="E128" s="76"/>
      <c r="F128" s="76"/>
      <c r="G128" s="76"/>
      <c r="H128" s="77"/>
      <c r="J128" s="33" t="s">
        <v>216</v>
      </c>
      <c r="K128" s="34"/>
      <c r="L128" s="34"/>
      <c r="M128" s="34"/>
      <c r="N128" s="34"/>
    </row>
    <row r="129" spans="3:14">
      <c r="C129" s="16" t="s">
        <v>198</v>
      </c>
      <c r="D129" s="16"/>
    </row>
    <row r="130" spans="3:14">
      <c r="D130" s="16" t="s">
        <v>199</v>
      </c>
    </row>
    <row r="131" spans="3:14" ht="60" customHeight="1">
      <c r="D131" s="72" t="s">
        <v>202</v>
      </c>
      <c r="E131" s="73"/>
      <c r="F131" s="73"/>
      <c r="G131" s="73"/>
      <c r="H131" s="74"/>
      <c r="J131" s="33" t="s">
        <v>214</v>
      </c>
      <c r="K131" s="35"/>
      <c r="L131" s="36"/>
      <c r="M131" s="36"/>
      <c r="N131" s="37"/>
    </row>
    <row r="132" spans="3:14">
      <c r="D132" s="16" t="s">
        <v>203</v>
      </c>
    </row>
    <row r="133" spans="3:14">
      <c r="D133" s="69" t="s">
        <v>205</v>
      </c>
      <c r="E133" s="70"/>
      <c r="F133" s="70"/>
      <c r="G133" s="70"/>
      <c r="H133" s="71"/>
      <c r="J133" s="38" t="s">
        <v>77</v>
      </c>
    </row>
    <row r="134" spans="3:14">
      <c r="C134" s="16" t="s">
        <v>209</v>
      </c>
      <c r="G134" s="17"/>
      <c r="H134" s="17"/>
      <c r="J134" s="16" t="s">
        <v>215</v>
      </c>
    </row>
    <row r="135" spans="3:14">
      <c r="D135" s="69" t="s">
        <v>211</v>
      </c>
      <c r="E135" s="70"/>
      <c r="F135" s="70"/>
      <c r="G135" s="70"/>
      <c r="H135" s="71"/>
    </row>
    <row r="136" spans="3:14">
      <c r="C136" s="16" t="s">
        <v>207</v>
      </c>
    </row>
    <row r="137" spans="3:14" ht="87" customHeight="1">
      <c r="D137" s="72" t="s">
        <v>206</v>
      </c>
      <c r="E137" s="73"/>
      <c r="F137" s="73"/>
      <c r="G137" s="73"/>
      <c r="H137" s="74"/>
    </row>
    <row r="138" spans="3:14">
      <c r="D138" s="16"/>
    </row>
    <row r="139" spans="3:14">
      <c r="C139" s="16" t="s">
        <v>196</v>
      </c>
    </row>
    <row r="140" spans="3:14" ht="199.5" customHeight="1">
      <c r="D140" s="39" t="s">
        <v>212</v>
      </c>
      <c r="E140" s="36"/>
      <c r="F140" s="36"/>
      <c r="G140" s="36"/>
      <c r="H140" s="36"/>
      <c r="I140" s="36"/>
      <c r="J140" s="37"/>
    </row>
    <row r="143" spans="3:14">
      <c r="C143" s="16" t="s">
        <v>195</v>
      </c>
    </row>
    <row r="144" spans="3:14" ht="18.75" customHeight="1">
      <c r="D144" s="40" t="s">
        <v>220</v>
      </c>
    </row>
    <row r="145" spans="3:4">
      <c r="D145" s="17" t="s">
        <v>85</v>
      </c>
    </row>
    <row r="146" spans="3:4">
      <c r="D146" s="17" t="s">
        <v>147</v>
      </c>
    </row>
    <row r="148" spans="3:4">
      <c r="D148" s="17" t="s">
        <v>221</v>
      </c>
    </row>
    <row r="149" spans="3:4">
      <c r="D149" s="17" t="s">
        <v>222</v>
      </c>
    </row>
    <row r="150" spans="3:4">
      <c r="D150" s="17" t="s">
        <v>223</v>
      </c>
    </row>
    <row r="152" spans="3:4">
      <c r="D152" s="17" t="s">
        <v>224</v>
      </c>
    </row>
    <row r="153" spans="3:4">
      <c r="D153" s="17" t="s">
        <v>225</v>
      </c>
    </row>
    <row r="158" spans="3:4">
      <c r="C158" s="16" t="s">
        <v>197</v>
      </c>
    </row>
    <row r="159" spans="3:4">
      <c r="D159" s="17" t="s">
        <v>199</v>
      </c>
    </row>
    <row r="160" spans="3:4" ht="112.5">
      <c r="D160" s="40" t="s">
        <v>217</v>
      </c>
    </row>
    <row r="161" spans="3:4">
      <c r="D161" s="17" t="s">
        <v>203</v>
      </c>
    </row>
    <row r="162" spans="3:4">
      <c r="D162" s="17" t="s">
        <v>204</v>
      </c>
    </row>
    <row r="163" spans="3:4">
      <c r="C163" s="16" t="s">
        <v>208</v>
      </c>
    </row>
    <row r="164" spans="3:4">
      <c r="D164" s="17" t="s">
        <v>210</v>
      </c>
    </row>
    <row r="165" spans="3:4">
      <c r="C165" s="16" t="s">
        <v>207</v>
      </c>
    </row>
    <row r="166" spans="3:4" ht="409.5">
      <c r="D166" s="40" t="s">
        <v>218</v>
      </c>
    </row>
    <row r="168" spans="3:4">
      <c r="C168" s="16" t="s">
        <v>196</v>
      </c>
    </row>
    <row r="169" spans="3:4" ht="409.5">
      <c r="D169" s="40" t="s">
        <v>219</v>
      </c>
    </row>
  </sheetData>
  <mergeCells count="14">
    <mergeCell ref="F43:H43"/>
    <mergeCell ref="F36:H36"/>
    <mergeCell ref="F38:H38"/>
    <mergeCell ref="F39:H39"/>
    <mergeCell ref="F41:H41"/>
    <mergeCell ref="F42:H42"/>
    <mergeCell ref="D135:H135"/>
    <mergeCell ref="D137:H137"/>
    <mergeCell ref="F44:H44"/>
    <mergeCell ref="F45:H45"/>
    <mergeCell ref="F47:H47"/>
    <mergeCell ref="D128:H128"/>
    <mergeCell ref="D131:H131"/>
    <mergeCell ref="D133:H133"/>
  </mergeCells>
  <phoneticPr fontId="9"/>
  <dataValidations count="1">
    <dataValidation type="list" allowBlank="1" showInputMessage="1" showErrorMessage="1" sqref="D37" xr:uid="{BF673B7F-A567-4D21-A314-97453D2095E2}">
      <formula1>$E$41:$E$47</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4FE7E-B24A-42E4-B330-3FF6E5017A36}">
  <sheetPr codeName="Sheet1"/>
  <dimension ref="B2:M107"/>
  <sheetViews>
    <sheetView tabSelected="1" topLeftCell="A40" zoomScale="145" zoomScaleNormal="145" workbookViewId="0">
      <selection activeCell="D77" sqref="D77"/>
    </sheetView>
  </sheetViews>
  <sheetFormatPr defaultRowHeight="18.75" outlineLevelRow="1"/>
  <cols>
    <col min="1" max="3" width="3.25" customWidth="1"/>
    <col min="4" max="4" width="5.875" style="2" customWidth="1"/>
    <col min="5" max="5" width="5.875" style="1" customWidth="1"/>
    <col min="6" max="6" width="6.875" style="1" customWidth="1"/>
    <col min="8" max="8" width="13.5" customWidth="1"/>
    <col min="10" max="10" width="8.375" bestFit="1" customWidth="1"/>
  </cols>
  <sheetData>
    <row r="2" spans="2:13">
      <c r="B2" s="3" t="s">
        <v>242</v>
      </c>
    </row>
    <row r="3" spans="2:13">
      <c r="B3" s="3"/>
      <c r="D3" s="2" t="s">
        <v>77</v>
      </c>
    </row>
    <row r="4" spans="2:13">
      <c r="B4" s="3"/>
      <c r="D4" s="2" t="s">
        <v>43</v>
      </c>
    </row>
    <row r="5" spans="2:13">
      <c r="B5" s="3"/>
      <c r="E5" s="1" t="s">
        <v>259</v>
      </c>
      <c r="H5" t="s">
        <v>260</v>
      </c>
    </row>
    <row r="6" spans="2:13">
      <c r="B6" s="3"/>
      <c r="C6" s="1" t="s">
        <v>264</v>
      </c>
    </row>
    <row r="7" spans="2:13">
      <c r="B7" s="3"/>
      <c r="C7" s="65" t="s">
        <v>333</v>
      </c>
      <c r="D7" s="65"/>
      <c r="E7" s="65"/>
      <c r="F7" s="65"/>
      <c r="G7" s="65"/>
      <c r="H7" s="65"/>
      <c r="I7" s="65"/>
      <c r="J7" s="65"/>
      <c r="K7" s="65"/>
      <c r="L7" s="65"/>
      <c r="M7" s="65"/>
    </row>
    <row r="8" spans="2:13" hidden="1" outlineLevel="1">
      <c r="B8" s="3"/>
      <c r="C8" s="1"/>
      <c r="D8" s="2" t="s">
        <v>326</v>
      </c>
    </row>
    <row r="9" spans="2:13" hidden="1" outlineLevel="1">
      <c r="B9" s="3"/>
      <c r="C9" s="1"/>
      <c r="D9" s="2" t="s">
        <v>237</v>
      </c>
    </row>
    <row r="10" spans="2:13" hidden="1" outlineLevel="1">
      <c r="B10" s="3"/>
      <c r="C10" s="1"/>
      <c r="D10" s="2" t="s">
        <v>327</v>
      </c>
    </row>
    <row r="11" spans="2:13" hidden="1" outlineLevel="1">
      <c r="B11" s="3"/>
      <c r="C11" s="1"/>
      <c r="D11" s="2" t="s">
        <v>83</v>
      </c>
    </row>
    <row r="12" spans="2:13" hidden="1" outlineLevel="1">
      <c r="B12" s="3"/>
      <c r="C12" s="52" t="s">
        <v>335</v>
      </c>
    </row>
    <row r="13" spans="2:13" hidden="1" outlineLevel="1">
      <c r="B13" s="3"/>
      <c r="C13" s="1"/>
      <c r="E13" s="52" t="s">
        <v>328</v>
      </c>
    </row>
    <row r="14" spans="2:13" hidden="1" outlineLevel="1">
      <c r="B14" s="3"/>
      <c r="C14" t="s">
        <v>329</v>
      </c>
      <c r="D14"/>
    </row>
    <row r="15" spans="2:13" hidden="1" outlineLevel="1">
      <c r="B15" s="3"/>
      <c r="C15" s="1"/>
      <c r="D15" s="2" t="s">
        <v>4</v>
      </c>
    </row>
    <row r="16" spans="2:13" hidden="1" outlineLevel="1">
      <c r="B16" s="3"/>
      <c r="C16" s="1"/>
      <c r="D16" s="52" t="s">
        <v>330</v>
      </c>
    </row>
    <row r="17" spans="2:13" hidden="1" outlineLevel="1">
      <c r="B17" s="3"/>
      <c r="C17" s="1"/>
      <c r="D17" s="52" t="s">
        <v>331</v>
      </c>
    </row>
    <row r="18" spans="2:13" collapsed="1">
      <c r="B18" s="3"/>
      <c r="C18" s="1"/>
      <c r="D18" s="52" t="s">
        <v>332</v>
      </c>
    </row>
    <row r="19" spans="2:13" ht="7.5" customHeight="1">
      <c r="B19" s="3"/>
      <c r="C19" s="1"/>
      <c r="D19" s="52"/>
    </row>
    <row r="20" spans="2:13">
      <c r="B20" s="3"/>
      <c r="C20" s="65" t="s">
        <v>334</v>
      </c>
      <c r="D20" s="65"/>
      <c r="E20" s="65"/>
      <c r="F20" s="65"/>
      <c r="G20" s="65"/>
      <c r="H20" s="65"/>
      <c r="I20" s="65"/>
      <c r="J20" s="65"/>
      <c r="K20" s="65"/>
      <c r="L20" s="65"/>
      <c r="M20" s="65"/>
    </row>
    <row r="21" spans="2:13" hidden="1" outlineLevel="1">
      <c r="B21" s="3"/>
      <c r="C21" s="1" t="s">
        <v>325</v>
      </c>
      <c r="D21" s="2" t="s">
        <v>324</v>
      </c>
    </row>
    <row r="22" spans="2:13" hidden="1" outlineLevel="1">
      <c r="B22" s="3"/>
      <c r="C22" s="1"/>
      <c r="D22" s="2" t="s">
        <v>248</v>
      </c>
    </row>
    <row r="23" spans="2:13" hidden="1" outlineLevel="1">
      <c r="B23" s="3"/>
      <c r="C23" s="1"/>
      <c r="D23" s="2" t="s">
        <v>237</v>
      </c>
    </row>
    <row r="24" spans="2:13" hidden="1" outlineLevel="1">
      <c r="B24" s="3"/>
      <c r="C24" s="1"/>
      <c r="D24" s="2" t="s">
        <v>275</v>
      </c>
    </row>
    <row r="25" spans="2:13" hidden="1" outlineLevel="1">
      <c r="B25" s="3"/>
      <c r="C25" s="1" t="s">
        <v>261</v>
      </c>
      <c r="F25"/>
    </row>
    <row r="26" spans="2:13" hidden="1" outlineLevel="1">
      <c r="B26" s="3"/>
      <c r="D26" s="2" t="s">
        <v>276</v>
      </c>
      <c r="F26"/>
    </row>
    <row r="27" spans="2:13" hidden="1" outlineLevel="1">
      <c r="B27" s="3"/>
      <c r="C27" s="1" t="s">
        <v>262</v>
      </c>
      <c r="F27"/>
    </row>
    <row r="28" spans="2:13" hidden="1" outlineLevel="1">
      <c r="B28" s="3"/>
      <c r="D28" s="2" t="s">
        <v>85</v>
      </c>
      <c r="F28"/>
    </row>
    <row r="29" spans="2:13" hidden="1" outlineLevel="1">
      <c r="B29" s="3"/>
      <c r="C29" s="1" t="s">
        <v>263</v>
      </c>
      <c r="F29"/>
    </row>
    <row r="30" spans="2:13" hidden="1" outlineLevel="1">
      <c r="B30" s="3"/>
      <c r="D30" s="2" t="s">
        <v>265</v>
      </c>
      <c r="F30"/>
    </row>
    <row r="31" spans="2:13" collapsed="1">
      <c r="B31" s="3"/>
      <c r="D31" s="52" t="s">
        <v>332</v>
      </c>
      <c r="F31"/>
    </row>
    <row r="32" spans="2:13" ht="7.5" customHeight="1">
      <c r="B32" s="3"/>
      <c r="D32" s="52"/>
      <c r="F32"/>
    </row>
    <row r="33" spans="2:7">
      <c r="B33" s="3"/>
      <c r="D33" s="2" t="s">
        <v>248</v>
      </c>
    </row>
    <row r="34" spans="2:7">
      <c r="B34" s="3"/>
      <c r="D34" s="2" t="s">
        <v>237</v>
      </c>
    </row>
    <row r="35" spans="2:7">
      <c r="C35" s="2"/>
      <c r="D35" s="2" t="s">
        <v>2</v>
      </c>
    </row>
    <row r="36" spans="2:7">
      <c r="E36" s="2" t="s">
        <v>85</v>
      </c>
    </row>
    <row r="37" spans="2:7">
      <c r="E37" s="2" t="s">
        <v>147</v>
      </c>
    </row>
    <row r="38" spans="2:7">
      <c r="D38" s="2" t="s">
        <v>273</v>
      </c>
      <c r="G38" s="3" t="s">
        <v>239</v>
      </c>
    </row>
    <row r="39" spans="2:7">
      <c r="E39" s="2" t="s">
        <v>245</v>
      </c>
    </row>
    <row r="40" spans="2:7">
      <c r="C40" t="s">
        <v>247</v>
      </c>
    </row>
    <row r="41" spans="2:7" hidden="1" outlineLevel="1">
      <c r="C41" s="1" t="s">
        <v>199</v>
      </c>
    </row>
    <row r="42" spans="2:7" hidden="1" outlineLevel="1">
      <c r="D42" s="2" t="s">
        <v>200</v>
      </c>
    </row>
    <row r="43" spans="2:7" hidden="1" outlineLevel="1">
      <c r="D43" s="2" t="s">
        <v>229</v>
      </c>
      <c r="G43" t="s">
        <v>230</v>
      </c>
    </row>
    <row r="44" spans="2:7" hidden="1" outlineLevel="1">
      <c r="D44" s="2" t="s">
        <v>201</v>
      </c>
    </row>
    <row r="45" spans="2:7" hidden="1" outlineLevel="1">
      <c r="C45" s="1" t="s">
        <v>203</v>
      </c>
    </row>
    <row r="46" spans="2:7" hidden="1" outlineLevel="1">
      <c r="D46" s="2" t="s">
        <v>204</v>
      </c>
    </row>
    <row r="47" spans="2:7" collapsed="1"/>
    <row r="48" spans="2:7">
      <c r="C48" t="s">
        <v>243</v>
      </c>
    </row>
    <row r="49" spans="2:8">
      <c r="D49" s="2" t="s">
        <v>231</v>
      </c>
    </row>
    <row r="50" spans="2:8">
      <c r="D50" s="2" t="s">
        <v>232</v>
      </c>
    </row>
    <row r="51" spans="2:8">
      <c r="E51" s="2" t="s">
        <v>233</v>
      </c>
      <c r="H51" t="s">
        <v>246</v>
      </c>
    </row>
    <row r="53" spans="2:8">
      <c r="B53" s="3" t="s">
        <v>226</v>
      </c>
    </row>
    <row r="54" spans="2:8">
      <c r="D54" s="2" t="s">
        <v>254</v>
      </c>
      <c r="G54" t="s">
        <v>255</v>
      </c>
    </row>
    <row r="55" spans="2:8">
      <c r="B55" s="3" t="s">
        <v>240</v>
      </c>
    </row>
    <row r="56" spans="2:8">
      <c r="D56" s="14"/>
      <c r="E56" s="14" t="s">
        <v>256</v>
      </c>
      <c r="H56" t="s">
        <v>257</v>
      </c>
    </row>
    <row r="57" spans="2:8">
      <c r="E57" s="14" t="s">
        <v>234</v>
      </c>
      <c r="H57" t="s">
        <v>253</v>
      </c>
    </row>
    <row r="58" spans="2:8">
      <c r="C58" s="2"/>
      <c r="E58" s="66" t="s">
        <v>74</v>
      </c>
      <c r="F58" s="67"/>
      <c r="G58" s="14"/>
    </row>
    <row r="59" spans="2:8">
      <c r="C59" s="2"/>
      <c r="D59" s="13" t="s">
        <v>31</v>
      </c>
      <c r="E59" s="43" t="str">
        <f>" : "&amp;VLOOKUP(D59,D60:G66,2,FALSE)</f>
        <v xml:space="preserve"> : 雑務（設定・ignore等）</v>
      </c>
      <c r="F59" s="5"/>
      <c r="G59" s="5"/>
    </row>
    <row r="60" spans="2:8" hidden="1" outlineLevel="1">
      <c r="C60" s="2"/>
      <c r="D60" s="13" t="s">
        <v>23</v>
      </c>
      <c r="E60" s="64" t="s">
        <v>41</v>
      </c>
      <c r="F60" s="64"/>
      <c r="G60" s="64"/>
    </row>
    <row r="61" spans="2:8" hidden="1" outlineLevel="1">
      <c r="C61" s="2"/>
      <c r="D61" s="13" t="s">
        <v>24</v>
      </c>
      <c r="E61" s="64" t="s">
        <v>25</v>
      </c>
      <c r="F61" s="64"/>
      <c r="G61" s="64"/>
    </row>
    <row r="62" spans="2:8" hidden="1" outlineLevel="1">
      <c r="C62" s="2"/>
      <c r="D62" s="13" t="s">
        <v>26</v>
      </c>
      <c r="E62" s="68" t="s">
        <v>42</v>
      </c>
      <c r="F62" s="68"/>
      <c r="G62" s="68"/>
    </row>
    <row r="63" spans="2:8" hidden="1" outlineLevel="1">
      <c r="C63" s="2"/>
      <c r="D63" s="13" t="s">
        <v>27</v>
      </c>
      <c r="E63" s="64" t="s">
        <v>28</v>
      </c>
      <c r="F63" s="64"/>
      <c r="G63" s="64"/>
    </row>
    <row r="64" spans="2:8" hidden="1" outlineLevel="1">
      <c r="C64" s="2"/>
      <c r="D64" s="13" t="s">
        <v>29</v>
      </c>
      <c r="E64" s="64" t="s">
        <v>30</v>
      </c>
      <c r="F64" s="64"/>
      <c r="G64" s="64"/>
    </row>
    <row r="65" spans="2:10" hidden="1" outlineLevel="1">
      <c r="C65" s="2"/>
      <c r="D65" s="13" t="s">
        <v>182</v>
      </c>
      <c r="E65" s="41" t="s">
        <v>183</v>
      </c>
      <c r="F65" s="41"/>
      <c r="G65" s="41"/>
    </row>
    <row r="66" spans="2:10" hidden="1" outlineLevel="1">
      <c r="C66" s="2"/>
      <c r="D66" s="48" t="s">
        <v>31</v>
      </c>
      <c r="E66" s="64" t="s">
        <v>186</v>
      </c>
      <c r="F66" s="64"/>
      <c r="G66" s="64"/>
    </row>
    <row r="67" spans="2:10" collapsed="1">
      <c r="C67" s="2"/>
      <c r="D67" s="50" t="s">
        <v>337</v>
      </c>
      <c r="E67" s="46"/>
      <c r="F67" s="46"/>
      <c r="G67" s="47"/>
      <c r="H67" t="s">
        <v>75</v>
      </c>
    </row>
    <row r="68" spans="2:10">
      <c r="C68" s="2"/>
      <c r="D68" s="49"/>
      <c r="E68" s="44"/>
      <c r="F68" s="44"/>
      <c r="G68" s="45"/>
      <c r="H68" t="s">
        <v>76</v>
      </c>
    </row>
    <row r="69" spans="2:10">
      <c r="C69" s="2"/>
      <c r="D69" s="14"/>
      <c r="E69" s="1" t="s">
        <v>269</v>
      </c>
      <c r="F69"/>
    </row>
    <row r="70" spans="2:10">
      <c r="C70" s="2"/>
      <c r="D70" s="14" t="s">
        <v>267</v>
      </c>
      <c r="E70" s="14"/>
      <c r="F70"/>
      <c r="H70" t="s">
        <v>268</v>
      </c>
    </row>
    <row r="71" spans="2:10">
      <c r="D71" s="14" t="s">
        <v>45</v>
      </c>
      <c r="I71" s="42" t="s">
        <v>252</v>
      </c>
      <c r="J71" s="63" t="s">
        <v>251</v>
      </c>
    </row>
    <row r="72" spans="2:10">
      <c r="D72" s="14"/>
      <c r="E72" s="1" t="s">
        <v>269</v>
      </c>
      <c r="I72" s="42"/>
    </row>
    <row r="73" spans="2:10">
      <c r="E73" s="14" t="s">
        <v>270</v>
      </c>
      <c r="H73" t="s">
        <v>271</v>
      </c>
      <c r="I73" s="42"/>
    </row>
    <row r="74" spans="2:10">
      <c r="D74" s="14" t="s">
        <v>180</v>
      </c>
    </row>
    <row r="75" spans="2:10">
      <c r="D75" s="14"/>
      <c r="E75" s="14" t="s">
        <v>272</v>
      </c>
    </row>
    <row r="76" spans="2:10">
      <c r="C76" s="2"/>
      <c r="E76" s="62" t="s">
        <v>336</v>
      </c>
      <c r="F76"/>
      <c r="H76" t="s">
        <v>266</v>
      </c>
    </row>
    <row r="77" spans="2:10">
      <c r="D77" s="10" t="str">
        <f>E58&amp;D59&amp;": "&amp;IF(D67&lt;&gt;"",D67,"")&amp;IF(D68&lt;&gt;""," ("&amp;D68&amp;")","")&amp;""""</f>
        <v>git commit -m "chore: Attribute 削除"</v>
      </c>
      <c r="E77" s="10"/>
      <c r="F77" s="11"/>
      <c r="G77" s="11"/>
      <c r="H77" s="12"/>
      <c r="I77" s="44"/>
      <c r="J77" s="45"/>
    </row>
    <row r="78" spans="2:10">
      <c r="D78" s="2" t="s">
        <v>43</v>
      </c>
    </row>
    <row r="79" spans="2:10">
      <c r="B79" s="3" t="s">
        <v>241</v>
      </c>
    </row>
    <row r="80" spans="2:10">
      <c r="D80" s="14" t="s">
        <v>227</v>
      </c>
    </row>
    <row r="81" spans="3:9">
      <c r="D81" s="14" t="s">
        <v>235</v>
      </c>
    </row>
    <row r="83" spans="3:9">
      <c r="D83" s="14" t="s">
        <v>85</v>
      </c>
    </row>
    <row r="84" spans="3:9">
      <c r="D84" s="14" t="s">
        <v>147</v>
      </c>
      <c r="I84" t="s">
        <v>258</v>
      </c>
    </row>
    <row r="85" spans="3:9">
      <c r="D85" s="14" t="s">
        <v>236</v>
      </c>
    </row>
    <row r="86" spans="3:9">
      <c r="D86" s="14" t="s">
        <v>35</v>
      </c>
    </row>
    <row r="87" spans="3:9">
      <c r="D87" s="14" t="s">
        <v>249</v>
      </c>
    </row>
    <row r="88" spans="3:9">
      <c r="D88" s="14"/>
      <c r="E88" t="s">
        <v>250</v>
      </c>
    </row>
    <row r="89" spans="3:9">
      <c r="D89" s="14" t="s">
        <v>278</v>
      </c>
    </row>
    <row r="90" spans="3:9">
      <c r="E90" s="14" t="s">
        <v>228</v>
      </c>
      <c r="I90" t="s">
        <v>238</v>
      </c>
    </row>
    <row r="91" spans="3:9">
      <c r="D91" s="2" t="s">
        <v>43</v>
      </c>
    </row>
    <row r="92" spans="3:9">
      <c r="D92" s="14" t="s">
        <v>143</v>
      </c>
    </row>
    <row r="93" spans="3:9">
      <c r="D93" s="2" t="s">
        <v>274</v>
      </c>
    </row>
    <row r="95" spans="3:9">
      <c r="C95" s="3" t="s">
        <v>36</v>
      </c>
      <c r="D95" s="14"/>
    </row>
    <row r="96" spans="3:9">
      <c r="D96" s="2" t="s">
        <v>244</v>
      </c>
    </row>
    <row r="106" spans="4:4">
      <c r="D106" s="2" t="s">
        <v>38</v>
      </c>
    </row>
    <row r="107" spans="4:4">
      <c r="D107" s="4" t="s">
        <v>39</v>
      </c>
    </row>
  </sheetData>
  <mergeCells count="9">
    <mergeCell ref="E66:G66"/>
    <mergeCell ref="E60:G60"/>
    <mergeCell ref="E61:G61"/>
    <mergeCell ref="C20:M20"/>
    <mergeCell ref="C7:M7"/>
    <mergeCell ref="E58:F58"/>
    <mergeCell ref="E62:G62"/>
    <mergeCell ref="E63:G63"/>
    <mergeCell ref="E64:G64"/>
  </mergeCells>
  <phoneticPr fontId="9"/>
  <dataValidations count="1">
    <dataValidation type="list" imeMode="disabled" allowBlank="1" showInputMessage="1" showErrorMessage="1" sqref="D59" xr:uid="{B2BBF895-67CE-4D8F-AA2A-C843209E6A9C}">
      <formula1>$D$60:$D$66</formula1>
    </dataValidation>
  </dataValidations>
  <pageMargins left="0.7" right="0.7" top="0.75" bottom="0.75" header="0.3" footer="0.3"/>
  <pageSetup paperSize="9" orientation="landscape"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A10D-46D7-4421-9E28-C5C78478B8FF}">
  <sheetPr codeName="Sheet7"/>
  <dimension ref="A1:A10"/>
  <sheetViews>
    <sheetView workbookViewId="0">
      <selection activeCell="K24" sqref="K24"/>
    </sheetView>
  </sheetViews>
  <sheetFormatPr defaultRowHeight="18.75"/>
  <sheetData>
    <row r="1" spans="1:1">
      <c r="A1" t="s">
        <v>187</v>
      </c>
    </row>
    <row r="3" spans="1:1">
      <c r="A3" t="s">
        <v>188</v>
      </c>
    </row>
    <row r="4" spans="1:1">
      <c r="A4" t="s">
        <v>189</v>
      </c>
    </row>
    <row r="7" spans="1:1">
      <c r="A7" t="s">
        <v>190</v>
      </c>
    </row>
    <row r="8" spans="1:1">
      <c r="A8" t="s">
        <v>191</v>
      </c>
    </row>
    <row r="10" spans="1:1">
      <c r="A10" t="s">
        <v>192</v>
      </c>
    </row>
  </sheetData>
  <phoneticPr fontId="9"/>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BC73A-23E6-4DE2-A53E-164C93E88D9F}">
  <sheetPr codeName="Sheet3"/>
  <dimension ref="B2:M54"/>
  <sheetViews>
    <sheetView showGridLines="0" topLeftCell="B1" zoomScale="130" zoomScaleNormal="130" workbookViewId="0">
      <selection activeCell="D10" sqref="D10"/>
    </sheetView>
  </sheetViews>
  <sheetFormatPr defaultColWidth="5.75" defaultRowHeight="18.75" outlineLevelRow="1"/>
  <cols>
    <col min="2" max="2" width="5.75" style="5"/>
    <col min="3" max="3" width="13.875" customWidth="1"/>
    <col min="4" max="4" width="20.375" customWidth="1"/>
  </cols>
  <sheetData>
    <row r="2" spans="2:4">
      <c r="B2" s="5" t="s">
        <v>49</v>
      </c>
    </row>
    <row r="4" spans="2:4">
      <c r="B4" s="5" t="s">
        <v>59</v>
      </c>
    </row>
    <row r="5" spans="2:4">
      <c r="C5" s="5" t="s">
        <v>62</v>
      </c>
    </row>
    <row r="6" spans="2:4">
      <c r="C6" s="5"/>
      <c r="D6" s="7" t="s">
        <v>65</v>
      </c>
    </row>
    <row r="7" spans="2:4" ht="409.5" hidden="1" outlineLevel="1">
      <c r="D7" s="6" t="s">
        <v>58</v>
      </c>
    </row>
    <row r="8" spans="2:4" collapsed="1">
      <c r="C8" s="5" t="s">
        <v>60</v>
      </c>
    </row>
    <row r="9" spans="2:4">
      <c r="C9" s="5"/>
      <c r="D9" s="7" t="s">
        <v>277</v>
      </c>
    </row>
    <row r="10" spans="2:4">
      <c r="C10" s="5" t="s">
        <v>61</v>
      </c>
    </row>
    <row r="11" spans="2:4">
      <c r="C11" s="5"/>
      <c r="D11" s="7" t="s">
        <v>57</v>
      </c>
    </row>
    <row r="12" spans="2:4">
      <c r="C12" s="5" t="s">
        <v>63</v>
      </c>
    </row>
    <row r="13" spans="2:4">
      <c r="C13" s="5"/>
      <c r="D13" s="7" t="s">
        <v>64</v>
      </c>
    </row>
    <row r="15" spans="2:4">
      <c r="B15" s="5" t="s">
        <v>130</v>
      </c>
    </row>
    <row r="22" spans="2:4">
      <c r="C22" t="s">
        <v>131</v>
      </c>
    </row>
    <row r="23" spans="2:4">
      <c r="C23" t="s">
        <v>132</v>
      </c>
    </row>
    <row r="24" spans="2:4">
      <c r="C24" t="s">
        <v>133</v>
      </c>
    </row>
    <row r="26" spans="2:4">
      <c r="B26" s="5" t="s">
        <v>136</v>
      </c>
    </row>
    <row r="27" spans="2:4">
      <c r="C27" t="s">
        <v>137</v>
      </c>
      <c r="D27" t="s">
        <v>138</v>
      </c>
    </row>
    <row r="28" spans="2:4">
      <c r="C28" t="s">
        <v>139</v>
      </c>
      <c r="D28" t="s">
        <v>140</v>
      </c>
    </row>
    <row r="29" spans="2:4">
      <c r="C29" t="s">
        <v>141</v>
      </c>
      <c r="D29" t="s">
        <v>142</v>
      </c>
    </row>
    <row r="31" spans="2:4">
      <c r="B31" s="5" t="s">
        <v>55</v>
      </c>
    </row>
    <row r="39" spans="2:4">
      <c r="C39" t="s">
        <v>56</v>
      </c>
    </row>
    <row r="40" spans="2:4">
      <c r="D40" t="s">
        <v>51</v>
      </c>
    </row>
    <row r="41" spans="2:4">
      <c r="C41" t="s">
        <v>51</v>
      </c>
    </row>
    <row r="43" spans="2:4">
      <c r="C43" t="s">
        <v>52</v>
      </c>
    </row>
    <row r="44" spans="2:4">
      <c r="D44" t="s">
        <v>53</v>
      </c>
    </row>
    <row r="45" spans="2:4">
      <c r="D45" t="s">
        <v>50</v>
      </c>
    </row>
    <row r="46" spans="2:4">
      <c r="D46" t="s">
        <v>54</v>
      </c>
    </row>
    <row r="48" spans="2:4">
      <c r="B48" s="5" t="s">
        <v>66</v>
      </c>
    </row>
    <row r="49" spans="3:13">
      <c r="C49" t="s">
        <v>67</v>
      </c>
    </row>
    <row r="50" spans="3:13" ht="409.5" customHeight="1" outlineLevel="1">
      <c r="D50" s="83" t="s">
        <v>129</v>
      </c>
      <c r="E50" s="84"/>
      <c r="F50" s="84"/>
      <c r="G50" s="84"/>
      <c r="H50" s="84"/>
      <c r="I50" s="84"/>
      <c r="J50" s="84"/>
      <c r="K50" s="84"/>
      <c r="L50" s="84"/>
      <c r="M50" s="85"/>
    </row>
    <row r="51" spans="3:13">
      <c r="C51" t="s">
        <v>68</v>
      </c>
    </row>
    <row r="52" spans="3:13" ht="90.75" customHeight="1" outlineLevel="1">
      <c r="D52" s="86" t="s">
        <v>69</v>
      </c>
      <c r="E52" s="87"/>
      <c r="F52" s="87"/>
      <c r="G52" s="87"/>
      <c r="H52" s="87"/>
      <c r="I52" s="87"/>
      <c r="J52" s="87"/>
      <c r="K52" s="87"/>
      <c r="L52" s="87"/>
      <c r="M52" s="88"/>
    </row>
    <row r="53" spans="3:13">
      <c r="C53" t="s">
        <v>134</v>
      </c>
    </row>
    <row r="54" spans="3:13" ht="330" customHeight="1" outlineLevel="1">
      <c r="D54" s="83" t="s">
        <v>135</v>
      </c>
      <c r="E54" s="84"/>
      <c r="F54" s="84"/>
      <c r="G54" s="84"/>
      <c r="H54" s="84"/>
      <c r="I54" s="84"/>
      <c r="J54" s="84"/>
      <c r="K54" s="84"/>
      <c r="L54" s="84"/>
      <c r="M54" s="85"/>
    </row>
  </sheetData>
  <mergeCells count="3">
    <mergeCell ref="D50:M50"/>
    <mergeCell ref="D52:M52"/>
    <mergeCell ref="D54:M54"/>
  </mergeCells>
  <phoneticPr fontId="9"/>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EF059-AA5B-48C7-BB3E-804B9275A28B}">
  <sheetPr codeName="Sheet9"/>
  <dimension ref="B2:C21"/>
  <sheetViews>
    <sheetView workbookViewId="0">
      <selection activeCell="C20" sqref="C20"/>
    </sheetView>
  </sheetViews>
  <sheetFormatPr defaultRowHeight="18.75"/>
  <cols>
    <col min="1" max="1" width="4.75" customWidth="1"/>
  </cols>
  <sheetData>
    <row r="2" spans="2:3">
      <c r="B2" s="59" t="s">
        <v>310</v>
      </c>
    </row>
    <row r="3" spans="2:3" ht="30">
      <c r="C3" s="51" t="s">
        <v>311</v>
      </c>
    </row>
    <row r="4" spans="2:3">
      <c r="C4" s="52" t="s">
        <v>312</v>
      </c>
    </row>
    <row r="6" spans="2:3">
      <c r="C6" t="s">
        <v>313</v>
      </c>
    </row>
    <row r="7" spans="2:3">
      <c r="C7" s="52" t="s">
        <v>314</v>
      </c>
    </row>
    <row r="9" spans="2:3" ht="30">
      <c r="C9" s="51" t="s">
        <v>315</v>
      </c>
    </row>
    <row r="10" spans="2:3">
      <c r="C10" s="52" t="s">
        <v>316</v>
      </c>
    </row>
    <row r="11" spans="2:3">
      <c r="C11" t="s">
        <v>317</v>
      </c>
    </row>
    <row r="12" spans="2:3">
      <c r="C12" t="s">
        <v>318</v>
      </c>
    </row>
    <row r="13" spans="2:3">
      <c r="C13" s="52" t="s">
        <v>4</v>
      </c>
    </row>
    <row r="15" spans="2:3" ht="30">
      <c r="C15" s="51" t="s">
        <v>319</v>
      </c>
    </row>
    <row r="16" spans="2:3">
      <c r="C16" s="52" t="s">
        <v>321</v>
      </c>
    </row>
    <row r="18" spans="2:3" ht="30">
      <c r="C18" s="51" t="s">
        <v>320</v>
      </c>
    </row>
    <row r="19" spans="2:3">
      <c r="C19" s="52" t="s">
        <v>322</v>
      </c>
    </row>
    <row r="21" spans="2:3">
      <c r="B21" s="60" t="s">
        <v>309</v>
      </c>
    </row>
  </sheetData>
  <phoneticPr fontId="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EA01B-762C-450A-96C6-1FC0834C91A9}">
  <sheetPr codeName="Sheet10"/>
  <dimension ref="B2:I59"/>
  <sheetViews>
    <sheetView workbookViewId="0">
      <selection activeCell="C56" sqref="C56:C57"/>
    </sheetView>
  </sheetViews>
  <sheetFormatPr defaultRowHeight="24"/>
  <cols>
    <col min="1" max="2" width="4.125" customWidth="1"/>
    <col min="3" max="3" width="9" style="54"/>
  </cols>
  <sheetData>
    <row r="2" spans="2:4" ht="30">
      <c r="B2" s="51" t="s">
        <v>279</v>
      </c>
    </row>
    <row r="3" spans="2:4">
      <c r="C3" s="55" t="s">
        <v>280</v>
      </c>
    </row>
    <row r="4" spans="2:4" ht="18.75">
      <c r="C4" s="61" t="s">
        <v>323</v>
      </c>
    </row>
    <row r="5" spans="2:4">
      <c r="C5" s="55"/>
      <c r="D5" t="s">
        <v>301</v>
      </c>
    </row>
    <row r="6" spans="2:4">
      <c r="C6" s="55" t="s">
        <v>303</v>
      </c>
    </row>
    <row r="7" spans="2:4">
      <c r="C7" s="56" t="s">
        <v>304</v>
      </c>
    </row>
    <row r="8" spans="2:4">
      <c r="C8" s="56"/>
    </row>
    <row r="9" spans="2:4">
      <c r="C9" s="56"/>
    </row>
    <row r="10" spans="2:4">
      <c r="C10" s="56"/>
    </row>
    <row r="11" spans="2:4">
      <c r="C11" s="56"/>
    </row>
    <row r="12" spans="2:4">
      <c r="C12" s="56"/>
    </row>
    <row r="13" spans="2:4">
      <c r="C13" s="56"/>
    </row>
    <row r="14" spans="2:4">
      <c r="C14" s="56"/>
    </row>
    <row r="15" spans="2:4">
      <c r="C15" s="56"/>
    </row>
    <row r="16" spans="2:4">
      <c r="C16" s="56"/>
    </row>
    <row r="17" spans="3:4">
      <c r="C17" s="56"/>
    </row>
    <row r="18" spans="3:4">
      <c r="C18" s="55" t="s">
        <v>281</v>
      </c>
    </row>
    <row r="19" spans="3:4" ht="18.75">
      <c r="C19" s="57" t="s">
        <v>282</v>
      </c>
    </row>
    <row r="20" spans="3:4">
      <c r="D20" s="57" t="s">
        <v>283</v>
      </c>
    </row>
    <row r="22" spans="3:4" ht="18.75">
      <c r="C22" s="57" t="s">
        <v>284</v>
      </c>
    </row>
    <row r="23" spans="3:4">
      <c r="D23" s="57" t="s">
        <v>285</v>
      </c>
    </row>
    <row r="25" spans="3:4" ht="18.75">
      <c r="C25" s="57" t="s">
        <v>286</v>
      </c>
    </row>
    <row r="26" spans="3:4" ht="18.75">
      <c r="C26" s="57" t="s">
        <v>287</v>
      </c>
    </row>
    <row r="28" spans="3:4" ht="18.75">
      <c r="C28" s="57" t="s">
        <v>288</v>
      </c>
    </row>
    <row r="29" spans="3:4" ht="18.75">
      <c r="C29" s="57" t="s">
        <v>308</v>
      </c>
    </row>
    <row r="31" spans="3:4">
      <c r="C31" s="54" t="s">
        <v>305</v>
      </c>
    </row>
    <row r="34" spans="2:3" ht="30">
      <c r="B34" s="51" t="s">
        <v>289</v>
      </c>
    </row>
    <row r="35" spans="2:3">
      <c r="C35" s="54" t="s">
        <v>290</v>
      </c>
    </row>
    <row r="37" spans="2:3" ht="18.75">
      <c r="C37" s="57" t="s">
        <v>291</v>
      </c>
    </row>
    <row r="38" spans="2:3" ht="18.75">
      <c r="C38" s="57" t="s">
        <v>292</v>
      </c>
    </row>
    <row r="40" spans="2:3" ht="18.75">
      <c r="C40" s="57" t="s">
        <v>293</v>
      </c>
    </row>
    <row r="41" spans="2:3" ht="18.75">
      <c r="C41" s="57" t="s">
        <v>294</v>
      </c>
    </row>
    <row r="43" spans="2:3" ht="18.75">
      <c r="C43" s="57" t="s">
        <v>295</v>
      </c>
    </row>
    <row r="44" spans="2:3" ht="18.75">
      <c r="C44" s="57" t="s">
        <v>294</v>
      </c>
    </row>
    <row r="46" spans="2:3">
      <c r="C46" s="54" t="s">
        <v>296</v>
      </c>
    </row>
    <row r="47" spans="2:3">
      <c r="C47" s="54" t="s">
        <v>306</v>
      </c>
    </row>
    <row r="51" spans="2:9" ht="30">
      <c r="B51" s="51" t="s">
        <v>297</v>
      </c>
    </row>
    <row r="52" spans="2:9">
      <c r="C52" s="56" t="s">
        <v>307</v>
      </c>
    </row>
    <row r="53" spans="2:9">
      <c r="C53" s="54" t="s">
        <v>298</v>
      </c>
    </row>
    <row r="54" spans="2:9">
      <c r="C54" s="54" t="s">
        <v>299</v>
      </c>
    </row>
    <row r="55" spans="2:9">
      <c r="D55" s="53" t="s">
        <v>302</v>
      </c>
      <c r="E55" s="44"/>
      <c r="F55" s="44"/>
      <c r="G55" s="44"/>
      <c r="H55" s="44"/>
      <c r="I55" s="45"/>
    </row>
    <row r="56" spans="2:9" ht="18.75">
      <c r="C56" s="57" t="str">
        <f>"git remote add origin "&amp;D55</f>
        <v>git remote add origin https://github.com/kakato-p/quote_recorder.git</v>
      </c>
    </row>
    <row r="57" spans="2:9" ht="18.75">
      <c r="C57" s="57" t="s">
        <v>300</v>
      </c>
    </row>
    <row r="59" spans="2:9" ht="30">
      <c r="B59" s="58" t="s">
        <v>309</v>
      </c>
    </row>
  </sheetData>
  <phoneticPr fontId="9"/>
  <hyperlinks>
    <hyperlink ref="D55" r:id="rId1" xr:uid="{96552C67-1D74-435C-8D40-DFE77442237F}"/>
    <hyperlink ref="C4" r:id="rId2" xr:uid="{6E1A17EA-CE6F-4E22-AA36-80683A2981D0}"/>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1C95D-A229-4D86-B7CE-0A2B49C310F3}">
  <sheetPr codeName="Sheet6"/>
  <dimension ref="B2:B28"/>
  <sheetViews>
    <sheetView workbookViewId="0">
      <selection activeCell="B29" sqref="B29"/>
    </sheetView>
  </sheetViews>
  <sheetFormatPr defaultRowHeight="18.75"/>
  <sheetData>
    <row r="2" spans="2:2">
      <c r="B2" t="s">
        <v>106</v>
      </c>
    </row>
    <row r="3" spans="2:2">
      <c r="B3" t="s">
        <v>107</v>
      </c>
    </row>
    <row r="4" spans="2:2">
      <c r="B4" t="s">
        <v>108</v>
      </c>
    </row>
    <row r="5" spans="2:2">
      <c r="B5" t="s">
        <v>109</v>
      </c>
    </row>
    <row r="6" spans="2:2">
      <c r="B6" t="s">
        <v>110</v>
      </c>
    </row>
    <row r="7" spans="2:2">
      <c r="B7" t="s">
        <v>111</v>
      </c>
    </row>
    <row r="8" spans="2:2">
      <c r="B8" t="s">
        <v>112</v>
      </c>
    </row>
    <row r="9" spans="2:2">
      <c r="B9" t="s">
        <v>113</v>
      </c>
    </row>
    <row r="12" spans="2:2">
      <c r="B12" t="s">
        <v>114</v>
      </c>
    </row>
    <row r="13" spans="2:2">
      <c r="B13" t="s">
        <v>115</v>
      </c>
    </row>
    <row r="14" spans="2:2">
      <c r="B14" t="s">
        <v>116</v>
      </c>
    </row>
    <row r="15" spans="2:2">
      <c r="B15" t="s">
        <v>117</v>
      </c>
    </row>
    <row r="16" spans="2:2">
      <c r="B16" t="s">
        <v>118</v>
      </c>
    </row>
    <row r="17" spans="2:2">
      <c r="B17" t="s">
        <v>119</v>
      </c>
    </row>
    <row r="20" spans="2:2">
      <c r="B20" t="s">
        <v>120</v>
      </c>
    </row>
    <row r="21" spans="2:2">
      <c r="B21" t="s">
        <v>85</v>
      </c>
    </row>
    <row r="22" spans="2:2">
      <c r="B22" t="s">
        <v>121</v>
      </c>
    </row>
    <row r="23" spans="2:2">
      <c r="B23" t="s">
        <v>117</v>
      </c>
    </row>
    <row r="24" spans="2:2">
      <c r="B24" t="s">
        <v>35</v>
      </c>
    </row>
    <row r="25" spans="2:2">
      <c r="B25" t="s">
        <v>122</v>
      </c>
    </row>
    <row r="27" spans="2:2">
      <c r="B27" t="s">
        <v>127</v>
      </c>
    </row>
    <row r="28" spans="2:2">
      <c r="B28" t="s">
        <v>128</v>
      </c>
    </row>
  </sheetData>
  <phoneticPr fontId="9"/>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ADA78-B827-4B24-8356-85B83230EC65}">
  <sheetPr codeName="Sheet5"/>
  <dimension ref="A2:C48"/>
  <sheetViews>
    <sheetView topLeftCell="A9" zoomScale="130" zoomScaleNormal="130" workbookViewId="0">
      <selection activeCell="C77" sqref="C77"/>
    </sheetView>
  </sheetViews>
  <sheetFormatPr defaultRowHeight="18.75" outlineLevelRow="1"/>
  <sheetData>
    <row r="2" spans="1:3">
      <c r="A2" s="5" t="s">
        <v>78</v>
      </c>
    </row>
    <row r="3" spans="1:3">
      <c r="B3" t="s">
        <v>79</v>
      </c>
    </row>
    <row r="4" spans="1:3">
      <c r="B4" t="s">
        <v>80</v>
      </c>
    </row>
    <row r="5" spans="1:3">
      <c r="B5" t="s">
        <v>81</v>
      </c>
    </row>
    <row r="7" spans="1:3">
      <c r="B7" s="2" t="s">
        <v>77</v>
      </c>
    </row>
    <row r="8" spans="1:3">
      <c r="B8" s="2"/>
    </row>
    <row r="9" spans="1:3">
      <c r="A9" t="s">
        <v>123</v>
      </c>
      <c r="B9" s="2"/>
    </row>
    <row r="10" spans="1:3">
      <c r="B10" s="2" t="s">
        <v>124</v>
      </c>
    </row>
    <row r="11" spans="1:3">
      <c r="B11" s="9" t="s">
        <v>125</v>
      </c>
    </row>
    <row r="12" spans="1:3">
      <c r="B12" s="9" t="s">
        <v>126</v>
      </c>
    </row>
    <row r="13" spans="1:3">
      <c r="C13" s="2"/>
    </row>
    <row r="14" spans="1:3">
      <c r="A14" t="s">
        <v>105</v>
      </c>
    </row>
    <row r="15" spans="1:3" hidden="1" outlineLevel="1">
      <c r="B15" t="s">
        <v>82</v>
      </c>
    </row>
    <row r="16" spans="1:3" hidden="1" outlineLevel="1">
      <c r="C16" t="s">
        <v>83</v>
      </c>
    </row>
    <row r="17" spans="2:3" hidden="1" outlineLevel="1"/>
    <row r="18" spans="2:3" hidden="1" outlineLevel="1">
      <c r="B18" t="s">
        <v>84</v>
      </c>
    </row>
    <row r="19" spans="2:3" hidden="1" outlineLevel="1">
      <c r="C19" t="s">
        <v>85</v>
      </c>
    </row>
    <row r="20" spans="2:3" hidden="1" outlineLevel="1">
      <c r="C20" t="s">
        <v>86</v>
      </c>
    </row>
    <row r="21" spans="2:3" hidden="1" outlineLevel="1">
      <c r="B21" t="s">
        <v>87</v>
      </c>
    </row>
    <row r="22" spans="2:3" hidden="1" outlineLevel="1"/>
    <row r="23" spans="2:3" hidden="1" outlineLevel="1">
      <c r="B23" t="s">
        <v>88</v>
      </c>
    </row>
    <row r="24" spans="2:3" hidden="1" outlineLevel="1">
      <c r="C24" t="s">
        <v>89</v>
      </c>
    </row>
    <row r="25" spans="2:3" hidden="1" outlineLevel="1"/>
    <row r="26" spans="2:3" hidden="1" outlineLevel="1"/>
    <row r="27" spans="2:3" hidden="1" outlineLevel="1">
      <c r="B27" t="s">
        <v>90</v>
      </c>
    </row>
    <row r="28" spans="2:3" hidden="1" outlineLevel="1">
      <c r="B28" t="s">
        <v>91</v>
      </c>
    </row>
    <row r="29" spans="2:3" hidden="1" outlineLevel="1">
      <c r="B29" t="s">
        <v>92</v>
      </c>
    </row>
    <row r="30" spans="2:3" hidden="1" outlineLevel="1">
      <c r="B30" t="s">
        <v>93</v>
      </c>
    </row>
    <row r="31" spans="2:3" hidden="1" outlineLevel="1"/>
    <row r="32" spans="2:3" hidden="1" outlineLevel="1">
      <c r="B32" t="s">
        <v>94</v>
      </c>
    </row>
    <row r="33" spans="2:3" hidden="1" outlineLevel="1">
      <c r="C33" t="s">
        <v>83</v>
      </c>
    </row>
    <row r="34" spans="2:3" hidden="1" outlineLevel="1">
      <c r="B34" t="s">
        <v>95</v>
      </c>
    </row>
    <row r="35" spans="2:3" hidden="1" outlineLevel="1">
      <c r="B35" t="s">
        <v>96</v>
      </c>
    </row>
    <row r="36" spans="2:3" hidden="1" outlineLevel="1">
      <c r="B36" t="s">
        <v>97</v>
      </c>
    </row>
    <row r="37" spans="2:3" hidden="1" outlineLevel="1"/>
    <row r="38" spans="2:3" hidden="1" outlineLevel="1">
      <c r="B38" t="s">
        <v>98</v>
      </c>
    </row>
    <row r="39" spans="2:3" hidden="1" outlineLevel="1">
      <c r="B39" t="s">
        <v>99</v>
      </c>
    </row>
    <row r="40" spans="2:3" hidden="1" outlineLevel="1">
      <c r="C40" t="s">
        <v>4</v>
      </c>
    </row>
    <row r="41" spans="2:3" hidden="1" outlineLevel="1">
      <c r="B41" t="s">
        <v>100</v>
      </c>
    </row>
    <row r="42" spans="2:3" hidden="1" outlineLevel="1"/>
    <row r="43" spans="2:3" hidden="1" outlineLevel="1">
      <c r="B43" t="s">
        <v>104</v>
      </c>
    </row>
    <row r="44" spans="2:3" hidden="1" outlineLevel="1"/>
    <row r="45" spans="2:3" hidden="1" outlineLevel="1">
      <c r="B45" t="s">
        <v>101</v>
      </c>
    </row>
    <row r="46" spans="2:3" hidden="1" outlineLevel="1">
      <c r="C46" t="s">
        <v>102</v>
      </c>
    </row>
    <row r="47" spans="2:3" hidden="1" outlineLevel="1">
      <c r="B47" t="s">
        <v>103</v>
      </c>
    </row>
    <row r="48" spans="2:3" collapsed="1"/>
  </sheetData>
  <phoneticPr fontId="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CC2A0-16C4-4D36-A54D-6674C17E93F6}">
  <sheetPr codeName="Sheet4"/>
  <dimension ref="B2:C3"/>
  <sheetViews>
    <sheetView workbookViewId="0">
      <selection activeCell="E3" sqref="E3"/>
    </sheetView>
  </sheetViews>
  <sheetFormatPr defaultRowHeight="18.75"/>
  <cols>
    <col min="1" max="1" width="3.375" customWidth="1"/>
    <col min="3" max="3" width="98.875" customWidth="1"/>
  </cols>
  <sheetData>
    <row r="2" spans="2:3">
      <c r="B2" t="s">
        <v>70</v>
      </c>
    </row>
    <row r="3" spans="2:3" ht="409.5">
      <c r="C3" s="8" t="s">
        <v>71</v>
      </c>
    </row>
  </sheetData>
  <phoneticPr fontId="9"/>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BE0817-2106-48A7-B522-D7F1242DCCD9}">
  <sheetPr codeName="Sheet2"/>
  <dimension ref="A1:A3"/>
  <sheetViews>
    <sheetView workbookViewId="0">
      <selection activeCell="A3" sqref="A3"/>
    </sheetView>
  </sheetViews>
  <sheetFormatPr defaultRowHeight="18.75"/>
  <sheetData>
    <row r="1" spans="1:1">
      <c r="A1" t="s">
        <v>47</v>
      </c>
    </row>
    <row r="3" spans="1:1">
      <c r="A3" t="s">
        <v>46</v>
      </c>
    </row>
  </sheetData>
  <phoneticPr fontId="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git (2)</vt:lpstr>
      <vt:lpstr>git</vt:lpstr>
      <vt:lpstr>.svg</vt:lpstr>
      <vt:lpstr>cursor</vt:lpstr>
      <vt:lpstr>_githooks</vt:lpstr>
      <vt:lpstr>gitHub</vt:lpstr>
      <vt:lpstr>2026-02-15の手順</vt:lpstr>
      <vt:lpstr>git補足</vt:lpstr>
      <vt:lpstr>GPT</vt:lpstr>
      <vt:lpstr>server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tsuyoshi kato</dc:creator>
  <cp:lastModifiedBy>tsuyoshi kato</cp:lastModifiedBy>
  <cp:lastPrinted>2026-02-19T00:54:07Z</cp:lastPrinted>
  <dcterms:created xsi:type="dcterms:W3CDTF">2026-02-09T04:01:03Z</dcterms:created>
  <dcterms:modified xsi:type="dcterms:W3CDTF">2026-06-06T23:56:47Z</dcterms:modified>
</cp:coreProperties>
</file>